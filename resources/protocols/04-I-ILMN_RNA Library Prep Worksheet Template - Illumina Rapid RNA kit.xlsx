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enay.pilarowski/Downloads/"/>
    </mc:Choice>
  </mc:AlternateContent>
  <xr:revisionPtr revIDLastSave="0" documentId="13_ncr:1_{0ED3E354-B3AC-5748-88AA-ABAFF9984E45}" xr6:coauthVersionLast="47" xr6:coauthVersionMax="47" xr10:uidLastSave="{00000000-0000-0000-0000-000000000000}"/>
  <bookViews>
    <workbookView xWindow="0" yWindow="660" windowWidth="30240" windowHeight="18980" xr2:uid="{00000000-000D-0000-FFFF-FFFF00000000}"/>
  </bookViews>
  <sheets>
    <sheet name="Worksheet lon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2" l="1"/>
  <c r="D53" i="2"/>
  <c r="D52" i="2"/>
  <c r="D55" i="2" s="1"/>
  <c r="D33" i="2"/>
  <c r="C33" i="2"/>
  <c r="D32" i="2"/>
  <c r="D31" i="2"/>
  <c r="D30" i="2"/>
  <c r="D29" i="2"/>
  <c r="C13" i="2"/>
  <c r="D12" i="2"/>
  <c r="D13" i="2" s="1"/>
  <c r="D14" i="2" s="1"/>
  <c r="D11" i="2"/>
  <c r="D10" i="2"/>
  <c r="D9" i="2"/>
</calcChain>
</file>

<file path=xl/sharedStrings.xml><?xml version="1.0" encoding="utf-8"?>
<sst xmlns="http://schemas.openxmlformats.org/spreadsheetml/2006/main" count="89" uniqueCount="80">
  <si>
    <t>Illumina Rapid Total RNA Library Prep</t>
  </si>
  <si>
    <t>Date:</t>
  </si>
  <si>
    <t>Experiment:</t>
  </si>
  <si>
    <r>
      <rPr>
        <sz val="10"/>
        <rFont val="Arial"/>
        <family val="2"/>
      </rPr>
      <t xml:space="preserve">Worksheet is to be used as a quick-guide supplement to the </t>
    </r>
    <r>
      <rPr>
        <b/>
        <u/>
        <sz val="10"/>
        <color rgb="FF1155CC"/>
        <rFont val="Arial"/>
        <family val="2"/>
      </rPr>
      <t>manufacturer's protocol</t>
    </r>
  </si>
  <si>
    <t>1. RLP_DEN-FS</t>
  </si>
  <si>
    <t>1. FastSelect and Priming</t>
  </si>
  <si>
    <t>Pre-PCR thermocycler (lid at 105˚C):</t>
  </si>
  <si>
    <t>* enter 10% more than # of samples for pipetting variation</t>
  </si>
  <si>
    <t>·       2 min 75C</t>
  </si>
  <si>
    <t>Spin down, keep on ice</t>
  </si>
  <si>
    <t>RNA sample</t>
  </si>
  <si>
    <t>-</t>
  </si>
  <si>
    <t>·       2 min 70C</t>
  </si>
  <si>
    <t>Thaw on ice, pipette mix, spin</t>
  </si>
  <si>
    <t>25pg ERCC Spike-in (50pg/uL stock)</t>
  </si>
  <si>
    <t>·       2 min 65C</t>
  </si>
  <si>
    <t>Thaw at RT, vortex, spin</t>
  </si>
  <si>
    <t>EPH3</t>
  </si>
  <si>
    <t>·       2 min 60C</t>
  </si>
  <si>
    <t>*QIAseq FastSelect (1:10) rRNA</t>
  </si>
  <si>
    <t>·       2 min 55C</t>
  </si>
  <si>
    <t>Water (if RNA is &lt;7ul)</t>
  </si>
  <si>
    <t>·       5 min 37C</t>
  </si>
  <si>
    <t>·       5 min 25C</t>
  </si>
  <si>
    <t>·       Hold 12°C</t>
  </si>
  <si>
    <t>ul MM to add to sample after thorough mixing</t>
  </si>
  <si>
    <t>2. cDNA synthesis + Tagmentation</t>
  </si>
  <si>
    <t>* enter exact # of samples. Overage for pipetting variation is included</t>
  </si>
  <si>
    <t>2. RLP_tag</t>
  </si>
  <si>
    <t>Bring all reagents to RT</t>
  </si>
  <si>
    <t>Fragmented &amp; primed RNA</t>
  </si>
  <si>
    <t>Pre-PCR thermocycler (lid at 100˚C):</t>
  </si>
  <si>
    <t>Vortex to mix, pulse spin</t>
  </si>
  <si>
    <t>CBM</t>
  </si>
  <si>
    <t>·       15 mins at 37°C</t>
  </si>
  <si>
    <t>Flick to mix, pulse spin</t>
  </si>
  <si>
    <t>CEM</t>
  </si>
  <si>
    <t>·       15 mins at 55°C</t>
  </si>
  <si>
    <t>Vortex and invert, pulse spin</t>
  </si>
  <si>
    <t>LRA</t>
  </si>
  <si>
    <t>·       Hold at 4˚C</t>
  </si>
  <si>
    <t>Vortex 30s, or until beads are resuspended</t>
  </si>
  <si>
    <t>EBLTS</t>
  </si>
  <si>
    <t>60ul</t>
  </si>
  <si>
    <t>Bead Tagmentation</t>
  </si>
  <si>
    <t>Sample</t>
  </si>
  <si>
    <t>Vortex to mix</t>
  </si>
  <si>
    <t>ST2</t>
  </si>
  <si>
    <t>TWB2</t>
  </si>
  <si>
    <t>1. Add 10ul ST2 to each well
2. Seal and shake at 2200 rpm for 1 min
3. Incubate 5 mins at RT
4. Spin down
5. Place on magnetic stand (~3min) and discard supernatant
6. Wash beads
    · Remove from magnetic stand
    · Add 100ul TWB2 to each well
    · Seal and shake at 2000rpm for 1 min
    · Spin down
    · Place on magnetic stand (~3min)
    · Remove and discard all supernatant
7. Repeat wash beads for a second time
    · Do not remove TWB2 until ready for PCR master mix addition</t>
  </si>
  <si>
    <t>3. Barcoding PCR</t>
  </si>
  <si>
    <t>3. RLP_PCR</t>
  </si>
  <si>
    <t>Tagmented cDNA and beads (remove TWB2 before adding MM)</t>
  </si>
  <si>
    <t>Cycles</t>
  </si>
  <si>
    <t>Thaw at RT. Invert then spin</t>
  </si>
  <si>
    <t>EPM (Enhanced PCR Mix)</t>
  </si>
  <si>
    <t>72 °C for 3 min</t>
  </si>
  <si>
    <t>Water</t>
  </si>
  <si>
    <t>98 °C for 30s</t>
  </si>
  <si>
    <t>Thaw at RT. Vortex then spin</t>
  </si>
  <si>
    <t>Index adapter (UDP0XXX)</t>
  </si>
  <si>
    <t>98 °C for 10s</t>
  </si>
  <si>
    <t>6-17**</t>
  </si>
  <si>
    <t>60 °C for 30s</t>
  </si>
  <si>
    <t>ul Indexing primer to add</t>
  </si>
  <si>
    <t>* Vortex master mix thoroughly
1. Keep samples on the magnet
2. Remove and discard all TWB2 supernatant
3. With a 20ul pipette, remove any residual TWB2. Foam remaining on well walls is unconcerning.
4. Remove samples from the magnetic stand
5. Add 40ul PCR master mix (beads from previous step remain - that is okay)
6. Add 10ul indexing adapter
7. Seal and shake at 2000rpm for 1min
8. Spin down
9. Place in thermocycler</t>
  </si>
  <si>
    <t>72 ˚C for 30s</t>
  </si>
  <si>
    <t>72˚C for 3 min</t>
  </si>
  <si>
    <t>Post-PCR Thermocycler 
(lid at 100˚C)</t>
  </si>
  <si>
    <t>Hold at 4˚C</t>
  </si>
  <si>
    <t>&lt;16 hours</t>
  </si>
  <si>
    <t>** Refer to page manufacturer protocol for cycle # guide</t>
  </si>
  <si>
    <t>4. SPRI Clean after Barcoding PCR</t>
  </si>
  <si>
    <t>** Prepare 400ul fresh 80% EtOH per sample prior to beginning</t>
  </si>
  <si>
    <t xml:space="preserve">
11. With a 20ul pipette, remove all residual EtOH
12. Air-dry on magnet for 2min - do not over-dry the beads
13. Remove from the magnet
14. Add 32ul RSB or water to each well
15. Mix well by pipetting or seal and shake
16. Incubate at RT for 2min
17. Pulse spin
18. Place on magnet for 2min
19. Transfer 30ul supernatant to fresh tube</t>
  </si>
  <si>
    <t>56ul</t>
  </si>
  <si>
    <t xml:space="preserve">Safe to store completed PCR product at -20C for up to 7 days </t>
  </si>
  <si>
    <t>1. Place samples on the magnet
2. Transfer 45ul of supernatant to a fresh tube
3. Add 45ul IPB beads to each well
4. Mix well
5. Incubate at RT for 5 min
6. Place on magnet for 5 min
7. Remove and discard 90ul of supernatant
8. Keep on magnet and add 175ul fresh 80% EtOH
9. Wait 30s, then remove and discard EtOH
10. Repeat steps 8-9 for a second ethanol wash</t>
  </si>
  <si>
    <t>* Follow bead clean protocol in manufacturer's protocol (and briefly 1-19. below)</t>
  </si>
  <si>
    <t>* Follow bead tagmentation protocol in manufacturer's protocol (and briefly steps 1-7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</si>
</sst>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4"/>
      <color theme="1"/>
      <name val="Arial"/>
      <family val="2"/>
      <scheme val="minor"/>
    </font>
    <font>
      <b/>
      <sz val="10"/>
      <color theme="1"/>
      <name val="Arial"/>
      <family val="2"/>
      <scheme val="minor"/>
    </font>
    <font>
      <b/>
      <u/>
      <sz val="10"/>
      <color rgb="FF0000FF"/>
      <name val="Arial"/>
      <family val="2"/>
    </font>
    <font>
      <b/>
      <sz val="12"/>
      <color theme="1"/>
      <name val="Arial"/>
      <family val="2"/>
      <scheme val="minor"/>
    </font>
    <font>
      <sz val="10"/>
      <color theme="1"/>
      <name val="Arial"/>
      <family val="2"/>
      <scheme val="minor"/>
    </font>
    <font>
      <sz val="10"/>
      <color rgb="FF000000"/>
      <name val="Arial"/>
      <family val="2"/>
    </font>
    <font>
      <b/>
      <sz val="10"/>
      <color rgb="FF000000"/>
      <name val="Arial"/>
      <family val="2"/>
    </font>
    <font>
      <sz val="10"/>
      <color theme="1"/>
      <name val="Arial"/>
      <family val="2"/>
    </font>
    <font>
      <sz val="10"/>
      <name val="Arial"/>
      <family val="2"/>
    </font>
    <font>
      <b/>
      <u/>
      <sz val="10"/>
      <color rgb="FF1155CC"/>
      <name val="Arial"/>
      <family val="2"/>
    </font>
  </fonts>
  <fills count="7">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FFFFF"/>
        <bgColor rgb="FFFFFFFF"/>
      </patternFill>
    </fill>
    <fill>
      <patternFill patternType="solid">
        <fgColor rgb="FFD9D2E9"/>
        <bgColor rgb="FFD9D2E9"/>
      </patternFill>
    </fill>
  </fills>
  <borders count="10">
    <border>
      <left/>
      <right/>
      <top/>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2" borderId="0" xfId="0" applyFont="1" applyFill="1" applyAlignment="1">
      <alignment horizontal="center"/>
    </xf>
    <xf numFmtId="0" fontId="6" fillId="0" borderId="0" xfId="0" applyFont="1" applyAlignment="1">
      <alignment horizontal="right" vertical="center" wrapText="1"/>
    </xf>
    <xf numFmtId="0" fontId="6" fillId="0" borderId="1"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center" wrapText="1"/>
    </xf>
    <xf numFmtId="0" fontId="6" fillId="0" borderId="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5" fillId="3" borderId="2" xfId="0" applyFont="1" applyFill="1" applyBorder="1" applyAlignment="1">
      <alignment horizontal="center"/>
    </xf>
    <xf numFmtId="0" fontId="5" fillId="3" borderId="0" xfId="0" applyFont="1" applyFill="1"/>
    <xf numFmtId="0" fontId="5" fillId="0" borderId="0" xfId="0" applyFont="1" applyAlignment="1">
      <alignment horizontal="center"/>
    </xf>
    <xf numFmtId="0" fontId="5" fillId="0" borderId="0" xfId="0" applyFont="1" applyAlignment="1">
      <alignment wrapText="1"/>
    </xf>
    <xf numFmtId="0" fontId="7" fillId="0" borderId="0" xfId="0" applyFont="1" applyAlignment="1">
      <alignment horizontal="left" wrapText="1"/>
    </xf>
    <xf numFmtId="0" fontId="6" fillId="0" borderId="1" xfId="0" applyFont="1" applyBorder="1" applyAlignment="1">
      <alignment horizontal="left" wrapText="1"/>
    </xf>
    <xf numFmtId="0" fontId="6" fillId="0" borderId="2" xfId="0" applyFont="1" applyBorder="1" applyAlignment="1">
      <alignment horizontal="center" wrapText="1"/>
    </xf>
    <xf numFmtId="0" fontId="6" fillId="0" borderId="0" xfId="0" applyFont="1" applyAlignment="1">
      <alignment horizontal="right" wrapText="1"/>
    </xf>
    <xf numFmtId="0" fontId="6" fillId="0" borderId="4" xfId="0" applyFont="1" applyBorder="1" applyAlignment="1">
      <alignment horizontal="left" wrapText="1"/>
    </xf>
    <xf numFmtId="0" fontId="6" fillId="0" borderId="5" xfId="0" applyFont="1" applyBorder="1" applyAlignment="1">
      <alignment horizontal="center" wrapText="1"/>
    </xf>
    <xf numFmtId="0" fontId="6" fillId="0" borderId="4" xfId="0" applyFont="1" applyBorder="1" applyAlignment="1">
      <alignment horizontal="center" wrapText="1"/>
    </xf>
    <xf numFmtId="0" fontId="5" fillId="0" borderId="0" xfId="0" applyFont="1" applyAlignment="1">
      <alignment vertical="top"/>
    </xf>
    <xf numFmtId="0" fontId="5" fillId="4" borderId="2" xfId="0" applyFont="1" applyFill="1" applyBorder="1" applyAlignment="1">
      <alignment horizontal="center"/>
    </xf>
    <xf numFmtId="0" fontId="5" fillId="4" borderId="0" xfId="0" applyFont="1" applyFill="1"/>
    <xf numFmtId="0" fontId="8" fillId="0" borderId="0" xfId="0" applyFont="1" applyAlignment="1">
      <alignment wrapText="1"/>
    </xf>
    <xf numFmtId="0" fontId="8" fillId="0" borderId="4" xfId="0" applyFont="1" applyBorder="1" applyAlignment="1">
      <alignment wrapText="1"/>
    </xf>
    <xf numFmtId="0" fontId="8" fillId="0" borderId="4" xfId="0" applyFont="1" applyBorder="1" applyAlignment="1">
      <alignment horizontal="center" wrapText="1"/>
    </xf>
    <xf numFmtId="0" fontId="8" fillId="0" borderId="0" xfId="0" applyFont="1" applyAlignment="1">
      <alignment horizontal="right" wrapText="1"/>
    </xf>
    <xf numFmtId="0" fontId="6" fillId="0" borderId="0" xfId="0" applyFont="1" applyAlignment="1">
      <alignment horizontal="center" vertical="center" wrapText="1"/>
    </xf>
    <xf numFmtId="0" fontId="8" fillId="0" borderId="0" xfId="0" applyFont="1"/>
    <xf numFmtId="0" fontId="6" fillId="0" borderId="0" xfId="0" applyFont="1" applyAlignment="1">
      <alignment horizontal="left" wrapText="1"/>
    </xf>
    <xf numFmtId="0" fontId="7" fillId="5"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6" borderId="2" xfId="0" applyFont="1" applyFill="1" applyBorder="1" applyAlignment="1">
      <alignment horizontal="center"/>
    </xf>
    <xf numFmtId="0" fontId="5" fillId="6" borderId="0" xfId="0" applyFont="1" applyFill="1"/>
    <xf numFmtId="0" fontId="5" fillId="0" borderId="4" xfId="0" applyFont="1" applyBorder="1"/>
    <xf numFmtId="0" fontId="5" fillId="0" borderId="4" xfId="0" applyFont="1" applyBorder="1" applyAlignment="1">
      <alignment vertical="center" wrapText="1"/>
    </xf>
    <xf numFmtId="0" fontId="5" fillId="0" borderId="0" xfId="0" applyFont="1" applyAlignment="1">
      <alignment vertical="top" wrapText="1"/>
    </xf>
    <xf numFmtId="0" fontId="0" fillId="0" borderId="0" xfId="0"/>
    <xf numFmtId="0" fontId="5" fillId="0" borderId="8" xfId="0" applyFont="1" applyBorder="1" applyAlignment="1">
      <alignment horizontal="left" vertical="center" wrapText="1"/>
    </xf>
    <xf numFmtId="0" fontId="9" fillId="0" borderId="9" xfId="0" applyFont="1" applyBorder="1"/>
    <xf numFmtId="0" fontId="5" fillId="0" borderId="0" xfId="0" applyFont="1" applyAlignment="1">
      <alignment wrapText="1"/>
    </xf>
    <xf numFmtId="0" fontId="5"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port.illumina.com/content/dam/illumina-support/documents/documentation/chemistry_documentation/rapid-rna-prep/200077002_01_rapid-total-rna-pre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E255"/>
  <sheetViews>
    <sheetView showGridLines="0" tabSelected="1" topLeftCell="A21" workbookViewId="0">
      <selection activeCell="G47" sqref="G47"/>
    </sheetView>
  </sheetViews>
  <sheetFormatPr baseColWidth="10" defaultColWidth="12.6640625" defaultRowHeight="15.75" customHeight="1" x14ac:dyDescent="0.15"/>
  <cols>
    <col min="1" max="1" width="24.33203125" customWidth="1"/>
    <col min="2" max="2" width="28.33203125" customWidth="1"/>
    <col min="5" max="5" width="35.1640625" customWidth="1"/>
  </cols>
  <sheetData>
    <row r="1" spans="1:5" x14ac:dyDescent="0.2">
      <c r="A1" s="1" t="s">
        <v>0</v>
      </c>
    </row>
    <row r="2" spans="1:5" ht="15.75" customHeight="1" x14ac:dyDescent="0.15">
      <c r="A2" s="2" t="s">
        <v>1</v>
      </c>
    </row>
    <row r="3" spans="1:5" ht="13" x14ac:dyDescent="0.15">
      <c r="A3" s="2" t="s">
        <v>2</v>
      </c>
    </row>
    <row r="4" spans="1:5" ht="13" x14ac:dyDescent="0.15">
      <c r="A4" s="3" t="s">
        <v>3</v>
      </c>
      <c r="B4" s="2"/>
    </row>
    <row r="5" spans="1:5" ht="13" x14ac:dyDescent="0.15">
      <c r="A5" s="2"/>
      <c r="B5" s="2"/>
    </row>
    <row r="6" spans="1:5" ht="16" x14ac:dyDescent="0.2">
      <c r="A6" s="2"/>
      <c r="B6" s="4" t="s">
        <v>5</v>
      </c>
    </row>
    <row r="7" spans="1:5" ht="13" x14ac:dyDescent="0.15">
      <c r="D7" s="6">
        <v>9</v>
      </c>
      <c r="E7" s="44" t="s">
        <v>7</v>
      </c>
    </row>
    <row r="8" spans="1:5" ht="14" x14ac:dyDescent="0.15">
      <c r="A8" s="7" t="s">
        <v>9</v>
      </c>
      <c r="B8" s="8" t="s">
        <v>10</v>
      </c>
      <c r="C8" s="9">
        <v>7</v>
      </c>
      <c r="D8" s="10" t="s">
        <v>11</v>
      </c>
      <c r="E8" s="45"/>
    </row>
    <row r="9" spans="1:5" ht="28" x14ac:dyDescent="0.15">
      <c r="A9" s="7" t="s">
        <v>13</v>
      </c>
      <c r="B9" s="11" t="s">
        <v>14</v>
      </c>
      <c r="C9" s="12">
        <v>0.5</v>
      </c>
      <c r="D9" s="13">
        <f t="shared" ref="D9:D12" si="0">$D$7*C9</f>
        <v>4.5</v>
      </c>
      <c r="E9" s="45"/>
    </row>
    <row r="10" spans="1:5" ht="14" x14ac:dyDescent="0.15">
      <c r="A10" s="7" t="s">
        <v>16</v>
      </c>
      <c r="B10" s="11" t="s">
        <v>17</v>
      </c>
      <c r="C10" s="13">
        <v>8.5</v>
      </c>
      <c r="D10" s="13">
        <f t="shared" si="0"/>
        <v>76.5</v>
      </c>
    </row>
    <row r="11" spans="1:5" ht="14" x14ac:dyDescent="0.15">
      <c r="A11" s="7" t="s">
        <v>13</v>
      </c>
      <c r="B11" s="11" t="s">
        <v>19</v>
      </c>
      <c r="C11" s="13">
        <v>1</v>
      </c>
      <c r="D11" s="13">
        <f t="shared" si="0"/>
        <v>9</v>
      </c>
    </row>
    <row r="12" spans="1:5" ht="14" x14ac:dyDescent="0.15">
      <c r="A12" s="7"/>
      <c r="B12" s="11" t="s">
        <v>21</v>
      </c>
      <c r="C12" s="13">
        <v>0</v>
      </c>
      <c r="D12" s="13">
        <f t="shared" si="0"/>
        <v>0</v>
      </c>
    </row>
    <row r="13" spans="1:5" ht="13" x14ac:dyDescent="0.15">
      <c r="C13" s="14">
        <f>SUM(C8:C12)</f>
        <v>17</v>
      </c>
      <c r="D13" s="15">
        <f>SUM(D9:D12)</f>
        <v>90</v>
      </c>
    </row>
    <row r="14" spans="1:5" ht="13" x14ac:dyDescent="0.15">
      <c r="A14" s="5"/>
      <c r="D14" s="16">
        <f>D13/D7</f>
        <v>10</v>
      </c>
      <c r="E14" s="17" t="s">
        <v>25</v>
      </c>
    </row>
    <row r="15" spans="1:5" ht="13" x14ac:dyDescent="0.15">
      <c r="A15" s="2"/>
      <c r="B15" s="2" t="s">
        <v>4</v>
      </c>
      <c r="D15" s="18"/>
    </row>
    <row r="16" spans="1:5" ht="13" x14ac:dyDescent="0.15">
      <c r="A16" s="2"/>
      <c r="B16" s="5" t="s">
        <v>6</v>
      </c>
      <c r="D16" s="18"/>
    </row>
    <row r="17" spans="1:5" ht="13" x14ac:dyDescent="0.15">
      <c r="A17" s="2"/>
      <c r="B17" s="5" t="s">
        <v>8</v>
      </c>
      <c r="D17" s="18"/>
    </row>
    <row r="18" spans="1:5" ht="13" x14ac:dyDescent="0.15">
      <c r="A18" s="2"/>
      <c r="B18" s="5" t="s">
        <v>12</v>
      </c>
      <c r="D18" s="18"/>
    </row>
    <row r="19" spans="1:5" ht="13" x14ac:dyDescent="0.15">
      <c r="A19" s="2"/>
      <c r="B19" s="5" t="s">
        <v>15</v>
      </c>
      <c r="D19" s="18"/>
    </row>
    <row r="20" spans="1:5" ht="13" x14ac:dyDescent="0.15">
      <c r="A20" s="2"/>
      <c r="B20" s="5" t="s">
        <v>18</v>
      </c>
      <c r="D20" s="18"/>
    </row>
    <row r="21" spans="1:5" ht="13" x14ac:dyDescent="0.15">
      <c r="A21" s="2"/>
      <c r="B21" s="5" t="s">
        <v>20</v>
      </c>
      <c r="D21" s="18"/>
    </row>
    <row r="22" spans="1:5" ht="13" x14ac:dyDescent="0.15">
      <c r="A22" s="2"/>
      <c r="B22" s="5" t="s">
        <v>22</v>
      </c>
      <c r="D22" s="18"/>
    </row>
    <row r="23" spans="1:5" ht="13" x14ac:dyDescent="0.15">
      <c r="A23" s="2"/>
      <c r="B23" s="5" t="s">
        <v>23</v>
      </c>
      <c r="D23" s="18"/>
    </row>
    <row r="24" spans="1:5" ht="13" x14ac:dyDescent="0.15">
      <c r="A24" s="2"/>
      <c r="B24" s="5" t="s">
        <v>24</v>
      </c>
      <c r="D24" s="18"/>
    </row>
    <row r="25" spans="1:5" ht="13" x14ac:dyDescent="0.15">
      <c r="A25" s="2"/>
      <c r="D25" s="18"/>
    </row>
    <row r="26" spans="1:5" ht="16" x14ac:dyDescent="0.2">
      <c r="A26" s="2"/>
      <c r="B26" s="4" t="s">
        <v>26</v>
      </c>
      <c r="D26" s="18"/>
    </row>
    <row r="27" spans="1:5" ht="28" x14ac:dyDescent="0.15">
      <c r="D27" s="6">
        <v>8</v>
      </c>
      <c r="E27" s="19" t="s">
        <v>27</v>
      </c>
    </row>
    <row r="28" spans="1:5" ht="14" x14ac:dyDescent="0.15">
      <c r="A28" s="20" t="s">
        <v>29</v>
      </c>
      <c r="B28" s="21" t="s">
        <v>30</v>
      </c>
      <c r="C28" s="22">
        <v>17</v>
      </c>
      <c r="D28" s="10" t="s">
        <v>11</v>
      </c>
    </row>
    <row r="29" spans="1:5" ht="14" x14ac:dyDescent="0.15">
      <c r="A29" s="23" t="s">
        <v>32</v>
      </c>
      <c r="B29" s="24" t="s">
        <v>33</v>
      </c>
      <c r="C29" s="25">
        <v>29.7</v>
      </c>
      <c r="D29" s="13">
        <f>D27*C29</f>
        <v>237.6</v>
      </c>
    </row>
    <row r="30" spans="1:5" ht="14" x14ac:dyDescent="0.15">
      <c r="A30" s="23" t="s">
        <v>35</v>
      </c>
      <c r="B30" s="24" t="s">
        <v>36</v>
      </c>
      <c r="C30" s="26">
        <v>2.9</v>
      </c>
      <c r="D30" s="13">
        <f>D27*C30</f>
        <v>23.2</v>
      </c>
    </row>
    <row r="31" spans="1:5" ht="14" x14ac:dyDescent="0.15">
      <c r="A31" s="23" t="s">
        <v>38</v>
      </c>
      <c r="B31" s="24" t="s">
        <v>39</v>
      </c>
      <c r="C31" s="25">
        <v>3.7</v>
      </c>
      <c r="D31" s="13">
        <f>D27*C31</f>
        <v>29.6</v>
      </c>
    </row>
    <row r="32" spans="1:5" ht="28" x14ac:dyDescent="0.15">
      <c r="A32" s="23" t="s">
        <v>41</v>
      </c>
      <c r="B32" s="24" t="s">
        <v>42</v>
      </c>
      <c r="C32" s="26">
        <v>11</v>
      </c>
      <c r="D32" s="13">
        <f>D27*C32</f>
        <v>88</v>
      </c>
    </row>
    <row r="33" spans="1:5" ht="13" x14ac:dyDescent="0.15">
      <c r="C33" s="14">
        <f>SUM(C28,D34)</f>
        <v>60</v>
      </c>
      <c r="D33" s="15">
        <f>SUM(D28:D32)</f>
        <v>378.40000000000003</v>
      </c>
    </row>
    <row r="34" spans="1:5" ht="13" x14ac:dyDescent="0.15">
      <c r="A34" s="5"/>
      <c r="D34" s="28">
        <v>43</v>
      </c>
      <c r="E34" s="29" t="s">
        <v>25</v>
      </c>
    </row>
    <row r="35" spans="1:5" ht="13" x14ac:dyDescent="0.15">
      <c r="A35" s="2"/>
      <c r="B35" s="2" t="s">
        <v>28</v>
      </c>
    </row>
    <row r="36" spans="1:5" ht="13" x14ac:dyDescent="0.15">
      <c r="A36" s="2"/>
      <c r="B36" s="5" t="s">
        <v>31</v>
      </c>
    </row>
    <row r="37" spans="1:5" ht="13" x14ac:dyDescent="0.15">
      <c r="A37" s="2"/>
      <c r="B37" s="5" t="s">
        <v>34</v>
      </c>
    </row>
    <row r="38" spans="1:5" ht="13" x14ac:dyDescent="0.15">
      <c r="A38" s="2"/>
      <c r="B38" s="5" t="s">
        <v>37</v>
      </c>
    </row>
    <row r="39" spans="1:5" ht="13" x14ac:dyDescent="0.15">
      <c r="A39" s="2"/>
      <c r="B39" s="5" t="s">
        <v>40</v>
      </c>
    </row>
    <row r="40" spans="1:5" ht="13" x14ac:dyDescent="0.15">
      <c r="A40" s="2"/>
      <c r="B40" s="5" t="s">
        <v>43</v>
      </c>
    </row>
    <row r="41" spans="1:5" ht="13" x14ac:dyDescent="0.15">
      <c r="A41" s="2"/>
    </row>
    <row r="42" spans="1:5" ht="16" x14ac:dyDescent="0.2">
      <c r="A42" s="2"/>
      <c r="B42" s="4" t="s">
        <v>44</v>
      </c>
    </row>
    <row r="43" spans="1:5" ht="14" x14ac:dyDescent="0.15">
      <c r="A43" s="30"/>
      <c r="B43" s="31" t="s">
        <v>45</v>
      </c>
      <c r="C43" s="32">
        <v>60</v>
      </c>
      <c r="D43" s="18"/>
    </row>
    <row r="44" spans="1:5" ht="14" x14ac:dyDescent="0.15">
      <c r="A44" s="33" t="s">
        <v>46</v>
      </c>
      <c r="B44" s="31" t="s">
        <v>47</v>
      </c>
      <c r="C44" s="32">
        <v>10</v>
      </c>
      <c r="D44" s="34"/>
    </row>
    <row r="45" spans="1:5" ht="14" x14ac:dyDescent="0.15">
      <c r="A45" s="33" t="s">
        <v>46</v>
      </c>
      <c r="B45" s="31" t="s">
        <v>48</v>
      </c>
      <c r="C45" s="32"/>
      <c r="D45" s="34"/>
    </row>
    <row r="46" spans="1:5" ht="13" x14ac:dyDescent="0.15">
      <c r="A46" s="35"/>
      <c r="B46" s="35" t="s">
        <v>79</v>
      </c>
      <c r="C46" s="35"/>
      <c r="D46" s="34"/>
    </row>
    <row r="47" spans="1:5" ht="190" customHeight="1" x14ac:dyDescent="0.15">
      <c r="B47" s="48" t="s">
        <v>49</v>
      </c>
      <c r="C47" s="45"/>
      <c r="D47" s="45"/>
    </row>
    <row r="48" spans="1:5" ht="13" x14ac:dyDescent="0.15"/>
    <row r="49" spans="1:5" ht="16" x14ac:dyDescent="0.2">
      <c r="A49" s="2"/>
      <c r="B49" s="4" t="s">
        <v>50</v>
      </c>
    </row>
    <row r="50" spans="1:5" ht="28" x14ac:dyDescent="0.15">
      <c r="D50" s="6">
        <v>8</v>
      </c>
      <c r="E50" s="19" t="s">
        <v>27</v>
      </c>
    </row>
    <row r="51" spans="1:5" ht="28" x14ac:dyDescent="0.15">
      <c r="A51" s="36"/>
      <c r="B51" s="21" t="s">
        <v>52</v>
      </c>
      <c r="C51" s="9" t="s">
        <v>11</v>
      </c>
      <c r="D51" s="10" t="s">
        <v>11</v>
      </c>
    </row>
    <row r="52" spans="1:5" ht="14" x14ac:dyDescent="0.15">
      <c r="A52" s="23" t="s">
        <v>54</v>
      </c>
      <c r="B52" s="24" t="s">
        <v>55</v>
      </c>
      <c r="C52" s="12">
        <v>23</v>
      </c>
      <c r="D52" s="13">
        <f>D50*C52</f>
        <v>184</v>
      </c>
    </row>
    <row r="53" spans="1:5" ht="14" x14ac:dyDescent="0.15">
      <c r="A53" s="23"/>
      <c r="B53" s="24" t="s">
        <v>57</v>
      </c>
      <c r="C53" s="12">
        <v>23</v>
      </c>
      <c r="D53" s="13">
        <f>D50*C53</f>
        <v>184</v>
      </c>
    </row>
    <row r="54" spans="1:5" ht="14" x14ac:dyDescent="0.15">
      <c r="A54" s="23" t="s">
        <v>59</v>
      </c>
      <c r="B54" s="24" t="s">
        <v>60</v>
      </c>
      <c r="C54" s="13">
        <v>10</v>
      </c>
      <c r="D54" s="13" t="s">
        <v>11</v>
      </c>
    </row>
    <row r="55" spans="1:5" ht="13" x14ac:dyDescent="0.15">
      <c r="C55" s="14">
        <f>SUM(C51:C54)</f>
        <v>56</v>
      </c>
      <c r="D55" s="15">
        <f>SUM(D51:D54)</f>
        <v>368</v>
      </c>
    </row>
    <row r="56" spans="1:5" ht="13" x14ac:dyDescent="0.15">
      <c r="A56" s="5"/>
      <c r="B56" s="35"/>
      <c r="D56" s="40">
        <v>40</v>
      </c>
      <c r="E56" s="41" t="s">
        <v>25</v>
      </c>
    </row>
    <row r="57" spans="1:5" ht="13" x14ac:dyDescent="0.15">
      <c r="D57" s="40">
        <v>10</v>
      </c>
      <c r="E57" s="41" t="s">
        <v>64</v>
      </c>
    </row>
    <row r="58" spans="1:5" ht="13" x14ac:dyDescent="0.15">
      <c r="A58" s="19"/>
      <c r="B58" s="48" t="s">
        <v>65</v>
      </c>
      <c r="C58" s="45"/>
      <c r="D58" s="45"/>
    </row>
    <row r="59" spans="1:5" ht="13" x14ac:dyDescent="0.15">
      <c r="B59" s="5"/>
      <c r="C59" s="5"/>
      <c r="D59" s="19"/>
      <c r="E59" s="19"/>
    </row>
    <row r="60" spans="1:5" ht="13" x14ac:dyDescent="0.15">
      <c r="B60" s="2" t="s">
        <v>51</v>
      </c>
      <c r="C60" s="5"/>
      <c r="D60" s="19"/>
      <c r="E60" s="19"/>
    </row>
    <row r="61" spans="1:5" ht="28" x14ac:dyDescent="0.15">
      <c r="B61" s="37" t="s">
        <v>68</v>
      </c>
      <c r="C61" s="38" t="s">
        <v>53</v>
      </c>
      <c r="D61" s="5"/>
    </row>
    <row r="62" spans="1:5" ht="14" x14ac:dyDescent="0.15">
      <c r="B62" s="24" t="s">
        <v>56</v>
      </c>
      <c r="C62" s="39">
        <v>1</v>
      </c>
      <c r="D62" s="5"/>
    </row>
    <row r="63" spans="1:5" ht="14" x14ac:dyDescent="0.15">
      <c r="B63" s="24" t="s">
        <v>58</v>
      </c>
      <c r="C63" s="39">
        <v>1</v>
      </c>
      <c r="D63" s="5"/>
    </row>
    <row r="64" spans="1:5" ht="14" x14ac:dyDescent="0.15">
      <c r="B64" s="24" t="s">
        <v>61</v>
      </c>
      <c r="C64" s="46" t="s">
        <v>62</v>
      </c>
      <c r="D64" s="5"/>
    </row>
    <row r="65" spans="1:5" ht="14" x14ac:dyDescent="0.15">
      <c r="B65" s="24" t="s">
        <v>63</v>
      </c>
      <c r="C65" s="47"/>
      <c r="D65" s="5"/>
    </row>
    <row r="66" spans="1:5" ht="14" x14ac:dyDescent="0.15">
      <c r="B66" s="24" t="s">
        <v>66</v>
      </c>
      <c r="C66" s="47"/>
      <c r="D66" s="5"/>
    </row>
    <row r="67" spans="1:5" ht="13" x14ac:dyDescent="0.15">
      <c r="B67" s="42" t="s">
        <v>67</v>
      </c>
      <c r="C67" s="39">
        <v>1</v>
      </c>
      <c r="D67" s="5"/>
    </row>
    <row r="68" spans="1:5" ht="14" x14ac:dyDescent="0.15">
      <c r="B68" s="42" t="s">
        <v>69</v>
      </c>
      <c r="C68" s="43" t="s">
        <v>70</v>
      </c>
      <c r="D68" s="5"/>
    </row>
    <row r="69" spans="1:5" ht="13" x14ac:dyDescent="0.15">
      <c r="B69" s="27" t="s">
        <v>75</v>
      </c>
      <c r="D69" s="5"/>
    </row>
    <row r="70" spans="1:5" ht="13" x14ac:dyDescent="0.15">
      <c r="B70" s="27" t="s">
        <v>71</v>
      </c>
      <c r="D70" s="5"/>
    </row>
    <row r="71" spans="1:5" ht="13" x14ac:dyDescent="0.15">
      <c r="A71" s="2"/>
      <c r="B71" s="5" t="s">
        <v>76</v>
      </c>
    </row>
    <row r="72" spans="1:5" ht="13" x14ac:dyDescent="0.15">
      <c r="A72" s="2"/>
      <c r="B72" s="2"/>
    </row>
    <row r="73" spans="1:5" ht="16" x14ac:dyDescent="0.2">
      <c r="A73" s="2"/>
      <c r="B73" s="4" t="s">
        <v>72</v>
      </c>
    </row>
    <row r="74" spans="1:5" ht="13" x14ac:dyDescent="0.15">
      <c r="A74" s="5"/>
      <c r="B74" s="35" t="s">
        <v>78</v>
      </c>
    </row>
    <row r="75" spans="1:5" ht="13" x14ac:dyDescent="0.15">
      <c r="A75" s="5"/>
      <c r="B75" s="5" t="s">
        <v>73</v>
      </c>
    </row>
    <row r="76" spans="1:5" ht="146" customHeight="1" x14ac:dyDescent="0.15">
      <c r="B76" s="49" t="s">
        <v>77</v>
      </c>
      <c r="C76" s="49"/>
      <c r="D76" s="48" t="s">
        <v>74</v>
      </c>
      <c r="E76" s="45"/>
    </row>
    <row r="77" spans="1:5" ht="13" x14ac:dyDescent="0.15"/>
    <row r="78" spans="1:5" ht="13" x14ac:dyDescent="0.15"/>
    <row r="79" spans="1:5" ht="13" x14ac:dyDescent="0.15"/>
    <row r="80" spans="1:5"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sheetData>
  <mergeCells count="6">
    <mergeCell ref="E7:E9"/>
    <mergeCell ref="B47:D47"/>
    <mergeCell ref="B58:D58"/>
    <mergeCell ref="C64:C66"/>
    <mergeCell ref="D76:E76"/>
    <mergeCell ref="B76:C76"/>
  </mergeCells>
  <hyperlinks>
    <hyperlink ref="A4" r:id="rId1" xr:uid="{00000000-0004-0000-0100-000000000000}"/>
  </hyperlinks>
  <printOptions horizontalCentered="1"/>
  <pageMargins left="0.7" right="0.7" top="0.75" bottom="0.75" header="0" footer="0"/>
  <pageSetup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 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Genay Pilarowski</cp:lastModifiedBy>
  <dcterms:modified xsi:type="dcterms:W3CDTF">2026-10-06T22:50:24Z</dcterms:modified>
</cp:coreProperties>
</file>