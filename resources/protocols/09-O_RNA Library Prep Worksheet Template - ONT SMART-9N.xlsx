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brary preparation" sheetId="1" r:id="rId5"/>
    <sheet state="visible" name="Adapter ligation" sheetId="2" r:id="rId6"/>
    <sheet state="visible" name="Secondary amplification" sheetId="3" r:id="rId7"/>
  </sheets>
  <definedNames/>
  <calcPr/>
</workbook>
</file>

<file path=xl/sharedStrings.xml><?xml version="1.0" encoding="utf-8"?>
<sst xmlns="http://schemas.openxmlformats.org/spreadsheetml/2006/main" count="138" uniqueCount="93">
  <si>
    <t>Nanopore RNA Metagenomics Sequencer Loading Worksheet</t>
  </si>
  <si>
    <t>Nanopore RNA Metagenomics Secondary Amplification</t>
  </si>
  <si>
    <t>Nanopore RNA Metagenomics Library Prep Worksheet</t>
  </si>
  <si>
    <t>Project:</t>
  </si>
  <si>
    <t>Date:</t>
  </si>
  <si>
    <t xml:space="preserve">Date: </t>
  </si>
  <si>
    <t>Secondary amplification may be warranted if there is not enough material to sequence following initial PCR Amplification
How do I determine whether I have sufficient material?
- Target concentration for each sample is 5-15nM. 5-15nM is not required for every sample, but you'll want most samples to be around this concentration
- Tapestation trace may help you evaluate if you have enough library
- Qubit is most reliable for concentration measurement</t>
  </si>
  <si>
    <t>5.5 Optional Secondary PCR Amplification</t>
  </si>
  <si>
    <r>
      <rPr>
        <rFont val="Arial"/>
        <color theme="1"/>
      </rPr>
      <t xml:space="preserve">
</t>
    </r>
    <r>
      <rPr>
        <rFont val="Arial"/>
        <b/>
        <color theme="1"/>
      </rPr>
      <t>Workflow:</t>
    </r>
    <r>
      <rPr>
        <rFont val="Arial"/>
        <color theme="1"/>
      </rPr>
      <t xml:space="preserve"> 1. Annealing; 2. Reverse transcription; 3. PCR amplification; 4. Exonuclease treatment; 5. SPRI clean-up; 6. Pooling; 7. Adapter ligation 
These protocols are an adaptation of the ONT Viral Metagenomics protocol (variation of SMART-9N)</t>
    </r>
  </si>
  <si>
    <r>
      <rPr>
        <rFont val="Arial"/>
        <color theme="1"/>
      </rPr>
      <t xml:space="preserve">
</t>
    </r>
    <r>
      <rPr>
        <rFont val="Arial"/>
        <b/>
        <color theme="1"/>
      </rPr>
      <t>Workflow:</t>
    </r>
    <r>
      <rPr>
        <rFont val="Arial"/>
        <color theme="1"/>
      </rPr>
      <t xml:space="preserve"> Complete library preparation, pooling, and QC. On the day of sequencer loading, complete the following: 7. Adapter ligation; 8. Loading the sequencer 
</t>
    </r>
  </si>
  <si>
    <t>Reagent</t>
  </si>
  <si>
    <t>1. Annealing</t>
  </si>
  <si>
    <t>1 rxn</t>
  </si>
  <si>
    <t>7. Adapter Ligation</t>
  </si>
  <si>
    <t>X full rxns</t>
  </si>
  <si>
    <t xml:space="preserve">
Perform this step immediately prior to loading the sequencer. 
Ensure the library pool is diluted to loading concentration.
Consider performing a pore scan prior to adapter ligation to ensure the flow cell is okay to load.
(It's okay to have adapter-ligated library sit on ice for ~30 min to an hour).
</t>
  </si>
  <si>
    <t>0.5 rxn</t>
  </si>
  <si>
    <t xml:space="preserve">Dilute Adapter (in a fresh 1.5ml Eppendorf DNA LoBind tube): </t>
  </si>
  <si>
    <t>X =</t>
  </si>
  <si>
    <t>Adapter Buffer (ADB)</t>
  </si>
  <si>
    <t>vol stock (µL)</t>
  </si>
  <si>
    <t>Rapid Adapter (RA)</t>
  </si>
  <si>
    <t>Clean barcoded DNA</t>
  </si>
  <si>
    <t>Total diluted adapter</t>
  </si>
  <si>
    <t>9 each</t>
  </si>
  <si>
    <t>Nuclease-free water</t>
  </si>
  <si>
    <t xml:space="preserve">RNA sample </t>
  </si>
  <si>
    <t>10 each</t>
  </si>
  <si>
    <t>RLB RT primer mix (12 µM)</t>
  </si>
  <si>
    <t xml:space="preserve">
Add diluted adapter to the 11 µL barcoded DNA</t>
  </si>
  <si>
    <t>Volume of pool</t>
  </si>
  <si>
    <t>LongAmp Taq 2x MM</t>
  </si>
  <si>
    <t>Diluted adapter (ul)</t>
  </si>
  <si>
    <t xml:space="preserve">
Mix gently by pipeting up and down. 
Incubate for 5 min at room temperature.
The prepared library is ready to be loaded into the MinION flow cell. Store the library on ice until ready to load. </t>
  </si>
  <si>
    <t>dNTP mix (10 mM)</t>
  </si>
  <si>
    <t>8. Load the Sequencer</t>
  </si>
  <si>
    <t>Load the sequencer according to the ONT protocol that can be found here: 
Priming and loading the MinION and GridION Flow Cell</t>
  </si>
  <si>
    <t>RLB (01-24, at 10 µM)*</t>
  </si>
  <si>
    <t>0.5 µL unique to each sample</t>
  </si>
  <si>
    <t>Master Mix volume</t>
  </si>
  <si>
    <t>Total volume</t>
  </si>
  <si>
    <t>50 each</t>
  </si>
  <si>
    <t>Pink = Reagents to add to master mix</t>
  </si>
  <si>
    <t>Add 40.5 µL of MM and 0.5 µL RLB to tagmented cDNA</t>
  </si>
  <si>
    <t>12 each</t>
  </si>
  <si>
    <t>*It is critical to use the same barcodes as initial PCR amplification step
**Add barcodes last
Mix MM and final rxn. by pipeting up and down and start the following thermocycling program:</t>
  </si>
  <si>
    <t>Thermocycler (lid at 105˚C)</t>
  </si>
  <si>
    <t>Add 2 µL of MM to RNA sample</t>
  </si>
  <si>
    <t>Cycles</t>
  </si>
  <si>
    <t xml:space="preserve">
Mix by gently pipeting up and down
Thermocycler (heated lid set to 80˚C):
·       5 min at 65°C
Snap cool on ice block for 2 min</t>
  </si>
  <si>
    <t>2. Reverse Transcription</t>
  </si>
  <si>
    <t>95 °C for 45s</t>
  </si>
  <si>
    <t>95 ˚C for 15s</t>
  </si>
  <si>
    <t>59 ˚C for 15s</t>
  </si>
  <si>
    <t>65 °C for 5 min</t>
  </si>
  <si>
    <t>65˚C for 10 mins</t>
  </si>
  <si>
    <t>Hold at 10˚C</t>
  </si>
  <si>
    <t>Annealed RNA</t>
  </si>
  <si>
    <t>Maxima H(-) buffer (5X)</t>
  </si>
  <si>
    <t>RNase OUT</t>
  </si>
  <si>
    <t>Maxima H(-) enzyme</t>
  </si>
  <si>
    <t>TSOmG (12 µM)</t>
  </si>
  <si>
    <t>20 each</t>
  </si>
  <si>
    <t>Add 8 µL of MM to annealed RNA</t>
  </si>
  <si>
    <t xml:space="preserve">
Mix by gently pipeting up and down
Incubate reaction mix as follows:
·       75 min at 42°C
·       5 min at 80°C</t>
  </si>
  <si>
    <t>3. PCR Amplification</t>
  </si>
  <si>
    <t>Tagmented cDNA</t>
  </si>
  <si>
    <t>5 each</t>
  </si>
  <si>
    <t>1 µL unique to each sample</t>
  </si>
  <si>
    <t>51 each</t>
  </si>
  <si>
    <t>Add 45 µL of MM and 1 µL RLB to 5 µL tagmented cDNA</t>
  </si>
  <si>
    <t xml:space="preserve">* See here for adaptor barcode assignments
Mix MM and final rxn. by pipeting up and down
</t>
  </si>
  <si>
    <t>56 ˚C for 15s</t>
  </si>
  <si>
    <t>65 °C for 6 min</t>
  </si>
  <si>
    <t>65˚C for 6 mins</t>
  </si>
  <si>
    <t>Hold at 4˚C</t>
  </si>
  <si>
    <t xml:space="preserve">
</t>
  </si>
  <si>
    <t>4. Exonuclease treatment (optional)</t>
  </si>
  <si>
    <t xml:space="preserve">
Add 1 µL of Exonuclease I per reaction and incubate as follows:
·       10 min at 37°C
·       1 min at 80°C</t>
  </si>
  <si>
    <t>5. SPRI Bead Clean-up</t>
  </si>
  <si>
    <t>SPRI bead ratio:</t>
  </si>
  <si>
    <t>Sample volume (full rxn):</t>
  </si>
  <si>
    <t>SPRI to add (per full rxn):</t>
  </si>
  <si>
    <t>µL</t>
  </si>
  <si>
    <t>Elution volume (per full rxn):</t>
  </si>
  <si>
    <t>Aspiration volume (per full rxn):</t>
  </si>
  <si>
    <r>
      <rPr>
        <rFont val="Arial"/>
        <color theme="1"/>
      </rPr>
      <t xml:space="preserve">
</t>
    </r>
    <r>
      <rPr>
        <rFont val="Arial"/>
        <b/>
        <color theme="1"/>
      </rPr>
      <t>SPRI clean-up protocol:</t>
    </r>
    <r>
      <rPr>
        <rFont val="Arial"/>
        <color theme="1"/>
      </rPr>
      <t xml:space="preserve">
*allow beads to sit in RT for 30 mins prior. Ensure you have enough 80% ethanol (500ul per sample).
1. Add room temperature beads to rxn. Mix well by pipetting up and down 10 times.
2. Incubate for 5 mins at room temperature.
3. Place samples on magnetic rack, and incubate for 5 mins on the rack.
4. Remove supernatant and add 200uL of 80% EtOH to samples while on the magnetic rack. 
5. Incubate at room temperature for 30s and remove the supernatant.
6. Repeat EtOH wash step for a total of 2 times.
7. Air dry the beads for up to 3-5 mins while on the magnetic rack. </t>
    </r>
    <r>
      <rPr>
        <rFont val="Arial"/>
        <i/>
        <color theme="1"/>
      </rPr>
      <t>Watch beads carefully throughout this incubation to avoid overdrying; smaller bead pellets dry faster. Trust your eyes more than the timer.</t>
    </r>
    <r>
      <rPr>
        <rFont val="Arial"/>
        <color theme="1"/>
      </rPr>
      <t xml:space="preserve">
8. Remove tube from magnetic rack. Elute DNA from beads into nuclease free water (can also use 0.1x TE Buffer, 10mM Tris-HCl)
9. Pipette mix and incubate for a minimum of 5 mins at room temperature off the magnetic rack.
10. Place on magnetic rack until solution is clear, ~ 5 mins.
11. Aspirate supernatant and transfer to a clean nuclease free PCR tube.                     
**Checkpoint: Samples can be stored frozen at -20°C and library prep resumed the next day.
</t>
    </r>
  </si>
  <si>
    <t>6. QC of individual libraries</t>
  </si>
  <si>
    <t>Qubit dsDNA HS: ng/ul concentration* of each sample
Tapestation, Genomic DNA: nM concentration* and size distribution of each sample
Nanodrop dsDNA (optional): identify potential contaminants that may affect pore health
* If individual libraries are too low concentration at this stage, consider moving to step 5.5. Secondary Amplification</t>
  </si>
  <si>
    <t>7. Pooling</t>
  </si>
  <si>
    <r>
      <rPr>
        <rFont val="Arial"/>
        <color rgb="FF1155CC"/>
        <u/>
      </rPr>
      <t xml:space="preserve">
Pool all barcoded libraries in the desired ratios to a total of 100-150 fmol in 11 µL of water (~10-15nM) or elution buffer (EB). See Pooling Calculation Worksheet and NEB calcu</t>
    </r>
    <r>
      <rPr>
        <rFont val="Arial"/>
        <color rgb="FF000000"/>
        <u/>
      </rPr>
      <t xml:space="preserve">lator: </t>
    </r>
    <r>
      <rPr>
        <rFont val="Arial"/>
        <color rgb="FF1155CC"/>
        <u/>
      </rPr>
      <t>https://nebiocalculator.neb.com/#!/dsdnaamt
Complete QC (Qubit) of pooled libraries.
Pool can be stored at -20C at this stage.</t>
    </r>
  </si>
  <si>
    <t>8. Adapter Ligation + Sequencer Loading</t>
  </si>
  <si>
    <t>Proceed to this step when ready to load the sequencer; see next sheet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</si>
</sst>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\-d"/>
  </numFmts>
  <fonts count="7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color theme="1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</fills>
  <borders count="32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000000"/>
      </bottom>
    </border>
    <border>
      <top style="thin">
        <color rgb="FFFFFFFF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right style="thin">
        <color rgb="FFFFFFFF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FFFFFF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FFFFFF"/>
      </right>
      <top/>
      <bottom style="thin">
        <color rgb="FF000000"/>
      </bottom>
    </border>
    <border>
      <right style="thin">
        <color rgb="FF000000"/>
      </right>
      <bottom style="thin">
        <color rgb="FFFFFFFF"/>
      </bottom>
    </border>
    <border>
      <right style="thin">
        <color rgb="FFFFFFFF"/>
      </right>
      <top style="thin">
        <color rgb="FF000000"/>
      </top>
      <bottom style="thin">
        <color rgb="FFFFFFFF"/>
      </bottom>
    </border>
    <border>
      <top style="thin">
        <color rgb="FF000000"/>
      </top>
      <bottom style="thin">
        <color rgb="FFFFFFFF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readingOrder="0" vertical="bottom"/>
    </xf>
    <xf borderId="4" fillId="0" fontId="3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6" fillId="0" fontId="4" numFmtId="0" xfId="0" applyAlignment="1" applyBorder="1" applyFont="1">
      <alignment shrinkToFit="0" wrapText="1"/>
    </xf>
    <xf borderId="7" fillId="0" fontId="2" numFmtId="0" xfId="0" applyBorder="1" applyFont="1"/>
    <xf borderId="5" fillId="0" fontId="2" numFmtId="0" xfId="0" applyBorder="1" applyFont="1"/>
    <xf borderId="8" fillId="0" fontId="1" numFmtId="0" xfId="0" applyAlignment="1" applyBorder="1" applyFont="1">
      <alignment horizontal="center" vertical="bottom"/>
    </xf>
    <xf borderId="9" fillId="0" fontId="2" numFmtId="0" xfId="0" applyBorder="1" applyFont="1"/>
    <xf borderId="10" fillId="0" fontId="2" numFmtId="0" xfId="0" applyBorder="1" applyFont="1"/>
    <xf borderId="6" fillId="0" fontId="4" numFmtId="0" xfId="0" applyAlignment="1" applyBorder="1" applyFont="1">
      <alignment readingOrder="0" shrinkToFit="0" vertical="top" wrapText="1"/>
    </xf>
    <xf borderId="11" fillId="0" fontId="4" numFmtId="0" xfId="0" applyAlignment="1" applyBorder="1" applyFont="1">
      <alignment shrinkToFit="0" wrapText="1"/>
    </xf>
    <xf borderId="12" fillId="0" fontId="3" numFmtId="0" xfId="0" applyAlignment="1" applyBorder="1" applyFont="1">
      <alignment horizontal="center" shrinkToFit="0" vertical="bottom" wrapText="1"/>
    </xf>
    <xf borderId="13" fillId="0" fontId="2" numFmtId="0" xfId="0" applyBorder="1" applyFont="1"/>
    <xf borderId="14" fillId="0" fontId="2" numFmtId="0" xfId="0" applyBorder="1" applyFont="1"/>
    <xf borderId="11" fillId="0" fontId="1" numFmtId="0" xfId="0" applyAlignment="1" applyBorder="1" applyFont="1">
      <alignment horizontal="center" readingOrder="0" vertical="bottom"/>
    </xf>
    <xf borderId="15" fillId="0" fontId="4" numFmtId="0" xfId="0" applyAlignment="1" applyBorder="1" applyFont="1">
      <alignment horizontal="center" shrinkToFit="0" vertical="bottom" wrapText="1"/>
    </xf>
    <xf borderId="7" fillId="0" fontId="1" numFmtId="0" xfId="0" applyAlignment="1" applyBorder="1" applyFont="1">
      <alignment horizontal="center" vertical="bottom"/>
    </xf>
    <xf borderId="13" fillId="0" fontId="4" numFmtId="0" xfId="0" applyAlignment="1" applyBorder="1" applyFont="1">
      <alignment horizontal="center" shrinkToFit="0" vertical="bottom" wrapText="1"/>
    </xf>
    <xf borderId="12" fillId="0" fontId="3" numFmtId="0" xfId="0" applyAlignment="1" applyBorder="1" applyFont="1">
      <alignment horizontal="center" shrinkToFit="0" wrapText="1"/>
    </xf>
    <xf borderId="16" fillId="0" fontId="2" numFmtId="0" xfId="0" applyBorder="1" applyFont="1"/>
    <xf borderId="11" fillId="0" fontId="4" numFmtId="0" xfId="0" applyAlignment="1" applyBorder="1" applyFont="1">
      <alignment shrinkToFit="0" vertical="bottom" wrapText="1"/>
    </xf>
    <xf borderId="12" fillId="0" fontId="2" numFmtId="0" xfId="0" applyBorder="1" applyFont="1"/>
    <xf borderId="17" fillId="0" fontId="4" numFmtId="0" xfId="0" applyAlignment="1" applyBorder="1" applyFont="1">
      <alignment horizontal="center" shrinkToFit="0" wrapText="1"/>
    </xf>
    <xf borderId="18" fillId="0" fontId="2" numFmtId="0" xfId="0" applyBorder="1" applyFont="1"/>
    <xf borderId="0" fillId="0" fontId="3" numFmtId="0" xfId="0" applyAlignment="1" applyFont="1">
      <alignment shrinkToFit="0" vertical="bottom" wrapText="1"/>
    </xf>
    <xf borderId="14" fillId="0" fontId="4" numFmtId="0" xfId="0" applyAlignment="1" applyBorder="1" applyFont="1">
      <alignment vertical="bottom"/>
    </xf>
    <xf borderId="19" fillId="0" fontId="2" numFmtId="0" xfId="0" applyBorder="1" applyFont="1"/>
    <xf borderId="16" fillId="0" fontId="4" numFmtId="0" xfId="0" applyAlignment="1" applyBorder="1" applyFont="1">
      <alignment horizontal="center" vertical="bottom"/>
    </xf>
    <xf borderId="13" fillId="0" fontId="4" numFmtId="0" xfId="0" applyAlignment="1" applyBorder="1" applyFont="1">
      <alignment horizontal="center" readingOrder="0" shrinkToFit="0" wrapText="1"/>
    </xf>
    <xf borderId="20" fillId="0" fontId="4" numFmtId="0" xfId="0" applyAlignment="1" applyBorder="1" applyFont="1">
      <alignment horizontal="right" shrinkToFit="0" vertical="bottom" wrapText="1"/>
    </xf>
    <xf borderId="16" fillId="0" fontId="3" numFmtId="0" xfId="0" applyAlignment="1" applyBorder="1" applyFont="1">
      <alignment horizontal="center" shrinkToFit="0" vertical="bottom" wrapText="1"/>
    </xf>
    <xf borderId="20" fillId="0" fontId="4" numFmtId="0" xfId="0" applyAlignment="1" applyBorder="1" applyFont="1">
      <alignment horizontal="center" shrinkToFit="0" vertical="bottom" wrapText="1"/>
    </xf>
    <xf borderId="13" fillId="0" fontId="3" numFmtId="0" xfId="0" applyAlignment="1" applyBorder="1" applyFont="1">
      <alignment horizontal="center" shrinkToFit="0" vertical="bottom" wrapText="1"/>
    </xf>
    <xf borderId="16" fillId="0" fontId="4" numFmtId="0" xfId="0" applyAlignment="1" applyBorder="1" applyFont="1">
      <alignment horizontal="center" readingOrder="0" vertical="bottom"/>
    </xf>
    <xf borderId="18" fillId="0" fontId="4" numFmtId="0" xfId="0" applyAlignment="1" applyBorder="1" applyFont="1">
      <alignment shrinkToFit="0" vertical="bottom" wrapText="1"/>
    </xf>
    <xf borderId="0" fillId="0" fontId="4" numFmtId="0" xfId="0" applyAlignment="1" applyFont="1">
      <alignment horizontal="right" shrinkToFit="0" vertical="bottom" wrapText="1"/>
    </xf>
    <xf borderId="16" fillId="0" fontId="4" numFmtId="0" xfId="0" applyAlignment="1" applyBorder="1" applyFont="1">
      <alignment horizontal="center" shrinkToFit="0" vertical="bottom" wrapText="1"/>
    </xf>
    <xf borderId="16" fillId="0" fontId="3" numFmtId="0" xfId="0" applyAlignment="1" applyBorder="1" applyFont="1">
      <alignment horizontal="center" shrinkToFit="0" wrapText="1"/>
    </xf>
    <xf borderId="13" fillId="0" fontId="4" numFmtId="2" xfId="0" applyAlignment="1" applyBorder="1" applyFont="1" applyNumberFormat="1">
      <alignment horizontal="center" shrinkToFit="0" vertical="bottom" wrapText="1"/>
    </xf>
    <xf borderId="13" fillId="0" fontId="3" numFmtId="0" xfId="0" applyAlignment="1" applyBorder="1" applyFont="1">
      <alignment horizontal="center" shrinkToFit="0" wrapText="1"/>
    </xf>
    <xf borderId="21" fillId="2" fontId="4" numFmtId="0" xfId="0" applyAlignment="1" applyBorder="1" applyFill="1" applyFont="1">
      <alignment shrinkToFit="0" vertical="bottom" wrapText="1"/>
    </xf>
    <xf borderId="18" fillId="0" fontId="4" numFmtId="0" xfId="0" applyAlignment="1" applyBorder="1" applyFont="1">
      <alignment readingOrder="0" shrinkToFit="0" wrapText="1"/>
    </xf>
    <xf borderId="22" fillId="2" fontId="4" numFmtId="0" xfId="0" applyAlignment="1" applyBorder="1" applyFill="1" applyFont="1">
      <alignment horizontal="center" shrinkToFit="0" vertical="bottom" wrapText="1"/>
    </xf>
    <xf borderId="16" fillId="0" fontId="4" numFmtId="0" xfId="0" applyAlignment="1" applyBorder="1" applyFont="1">
      <alignment horizontal="center" readingOrder="0" shrinkToFit="0" wrapText="1"/>
    </xf>
    <xf borderId="13" fillId="0" fontId="4" numFmtId="2" xfId="0" applyAlignment="1" applyBorder="1" applyFont="1" applyNumberFormat="1">
      <alignment horizontal="center" readingOrder="0" shrinkToFit="0" wrapText="1"/>
    </xf>
    <xf borderId="18" fillId="2" fontId="4" numFmtId="0" xfId="0" applyAlignment="1" applyBorder="1" applyFill="1" applyFont="1">
      <alignment readingOrder="0" shrinkToFit="0" wrapText="1"/>
    </xf>
    <xf borderId="16" fillId="2" fontId="4" numFmtId="0" xfId="0" applyAlignment="1" applyBorder="1" applyFill="1" applyFont="1">
      <alignment horizontal="center" readingOrder="0" shrinkToFit="0" wrapText="1"/>
    </xf>
    <xf borderId="0" fillId="0" fontId="4" numFmtId="0" xfId="0" applyAlignment="1" applyFont="1">
      <alignment horizontal="center" shrinkToFit="0" vertical="bottom" wrapText="1"/>
    </xf>
    <xf borderId="23" fillId="2" fontId="4" numFmtId="2" xfId="0" applyAlignment="1" applyBorder="1" applyFill="1" applyFont="1" applyNumberFormat="1">
      <alignment horizontal="center" shrinkToFit="0" vertical="bottom" wrapText="1"/>
    </xf>
    <xf borderId="13" fillId="2" fontId="4" numFmtId="2" xfId="0" applyAlignment="1" applyBorder="1" applyFill="1" applyFont="1" applyNumberFormat="1">
      <alignment horizontal="center" readingOrder="0" shrinkToFit="0" wrapText="1"/>
    </xf>
    <xf borderId="21" fillId="3" fontId="4" numFmtId="0" xfId="0" applyAlignment="1" applyBorder="1" applyFill="1" applyFont="1">
      <alignment vertical="bottom"/>
    </xf>
    <xf borderId="18" fillId="3" fontId="4" numFmtId="0" xfId="0" applyAlignment="1" applyBorder="1" applyFill="1" applyFont="1">
      <alignment vertical="bottom"/>
    </xf>
    <xf borderId="22" fillId="3" fontId="4" numFmtId="0" xfId="0" applyAlignment="1" applyBorder="1" applyFill="1" applyFont="1">
      <alignment horizontal="center" vertical="bottom"/>
    </xf>
    <xf borderId="16" fillId="0" fontId="4" numFmtId="0" xfId="0" applyAlignment="1" applyBorder="1" applyFont="1">
      <alignment horizontal="center"/>
    </xf>
    <xf borderId="23" fillId="3" fontId="4" numFmtId="2" xfId="0" applyAlignment="1" applyBorder="1" applyFill="1" applyFont="1" applyNumberFormat="1">
      <alignment horizontal="center" shrinkToFit="0" vertical="bottom" wrapText="1"/>
    </xf>
    <xf borderId="18" fillId="0" fontId="3" numFmtId="0" xfId="0" applyAlignment="1" applyBorder="1" applyFont="1">
      <alignment shrinkToFit="0" vertical="bottom" wrapText="1"/>
    </xf>
    <xf borderId="13" fillId="0" fontId="3" numFmtId="2" xfId="0" applyAlignment="1" applyBorder="1" applyFont="1" applyNumberFormat="1">
      <alignment horizontal="center" readingOrder="0"/>
    </xf>
    <xf borderId="18" fillId="0" fontId="3" numFmtId="0" xfId="0" applyAlignment="1" applyBorder="1" applyFont="1">
      <alignment shrinkToFit="0" wrapText="1"/>
    </xf>
    <xf borderId="13" fillId="0" fontId="3" numFmtId="2" xfId="0" applyAlignment="1" applyBorder="1" applyFont="1" applyNumberFormat="1">
      <alignment horizontal="center" shrinkToFit="0" vertical="bottom" wrapText="1"/>
    </xf>
    <xf borderId="11" fillId="0" fontId="5" numFmtId="0" xfId="0" applyAlignment="1" applyBorder="1" applyFont="1">
      <alignment shrinkToFit="0" vertical="bottom" wrapText="1"/>
    </xf>
    <xf borderId="7" fillId="0" fontId="4" numFmtId="0" xfId="0" applyAlignment="1" applyBorder="1" applyFont="1">
      <alignment vertical="bottom"/>
    </xf>
    <xf borderId="16" fillId="0" fontId="3" numFmtId="0" xfId="0" applyAlignment="1" applyBorder="1" applyFont="1">
      <alignment horizontal="center"/>
    </xf>
    <xf borderId="24" fillId="2" fontId="4" numFmtId="0" xfId="0" applyAlignment="1" applyBorder="1" applyFill="1" applyFont="1">
      <alignment shrinkToFit="0" vertical="top" wrapText="1"/>
    </xf>
    <xf borderId="25" fillId="0" fontId="2" numFmtId="0" xfId="0" applyBorder="1" applyFont="1"/>
    <xf borderId="13" fillId="0" fontId="3" numFmtId="0" xfId="0" applyAlignment="1" applyBorder="1" applyFont="1">
      <alignment horizontal="center" readingOrder="0"/>
    </xf>
    <xf borderId="26" fillId="4" fontId="4" numFmtId="0" xfId="0" applyBorder="1" applyFill="1" applyFont="1"/>
    <xf borderId="18" fillId="2" fontId="4" numFmtId="0" xfId="0" applyAlignment="1" applyBorder="1" applyFill="1" applyFont="1">
      <alignment shrinkToFit="0" wrapText="1"/>
    </xf>
    <xf borderId="27" fillId="0" fontId="2" numFmtId="0" xfId="0" applyBorder="1" applyFont="1"/>
    <xf borderId="5" fillId="0" fontId="4" numFmtId="0" xfId="0" applyBorder="1" applyFont="1"/>
    <xf borderId="28" fillId="0" fontId="2" numFmtId="0" xfId="0" applyBorder="1" applyFont="1"/>
    <xf borderId="29" fillId="0" fontId="4" numFmtId="0" xfId="0" applyBorder="1" applyFont="1"/>
    <xf borderId="20" fillId="4" fontId="3" numFmtId="0" xfId="0" applyAlignment="1" applyBorder="1" applyFill="1" applyFont="1">
      <alignment horizontal="center" vertical="bottom"/>
    </xf>
    <xf borderId="13" fillId="2" fontId="4" numFmtId="0" xfId="0" applyAlignment="1" applyBorder="1" applyFill="1" applyFont="1">
      <alignment horizontal="left" readingOrder="0" shrinkToFit="0" vertical="top" wrapText="1"/>
    </xf>
    <xf borderId="25" fillId="0" fontId="3" numFmtId="0" xfId="0" applyAlignment="1" applyBorder="1" applyFont="1">
      <alignment horizontal="center" shrinkToFit="0" vertical="bottom" wrapText="1"/>
    </xf>
    <xf borderId="30" fillId="0" fontId="4" numFmtId="0" xfId="0" applyAlignment="1" applyBorder="1" applyFont="1">
      <alignment vertical="top"/>
    </xf>
    <xf borderId="16" fillId="0" fontId="4" numFmtId="0" xfId="0" applyAlignment="1" applyBorder="1" applyFont="1">
      <alignment horizontal="right" shrinkToFit="0" vertical="bottom" wrapText="1"/>
    </xf>
    <xf borderId="5" fillId="0" fontId="4" numFmtId="0" xfId="0" applyAlignment="1" applyBorder="1" applyFont="1">
      <alignment vertical="top"/>
    </xf>
    <xf borderId="17" fillId="0" fontId="4" numFmtId="164" xfId="0" applyAlignment="1" applyBorder="1" applyFont="1" applyNumberFormat="1">
      <alignment horizontal="center" shrinkToFit="0" wrapText="1"/>
    </xf>
    <xf borderId="17" fillId="0" fontId="2" numFmtId="0" xfId="0" applyBorder="1" applyFont="1"/>
    <xf borderId="18" fillId="0" fontId="4" numFmtId="0" xfId="0" applyAlignment="1" applyBorder="1" applyFont="1">
      <alignment vertical="bottom"/>
    </xf>
    <xf borderId="16" fillId="0" fontId="4" numFmtId="0" xfId="0" applyAlignment="1" applyBorder="1" applyFont="1">
      <alignment vertical="bottom"/>
    </xf>
    <xf borderId="18" fillId="0" fontId="4" numFmtId="0" xfId="0" applyAlignment="1" applyBorder="1" applyFont="1">
      <alignment readingOrder="0" shrinkToFit="0" vertical="bottom" wrapText="1"/>
    </xf>
    <xf borderId="16" fillId="0" fontId="4" numFmtId="0" xfId="0" applyAlignment="1" applyBorder="1" applyFont="1">
      <alignment horizontal="center" readingOrder="0" shrinkToFit="0" vertical="bottom" wrapText="1"/>
    </xf>
    <xf borderId="13" fillId="0" fontId="4" numFmtId="2" xfId="0" applyAlignment="1" applyBorder="1" applyFont="1" applyNumberFormat="1">
      <alignment horizontal="center" readingOrder="0" shrinkToFit="0" vertical="bottom" wrapText="1"/>
    </xf>
    <xf borderId="18" fillId="2" fontId="4" numFmtId="0" xfId="0" applyAlignment="1" applyBorder="1" applyFill="1" applyFont="1">
      <alignment readingOrder="0" shrinkToFit="0" vertical="bottom" wrapText="1"/>
    </xf>
    <xf borderId="16" fillId="2" fontId="4" numFmtId="0" xfId="0" applyAlignment="1" applyBorder="1" applyFill="1" applyFont="1">
      <alignment horizontal="center" readingOrder="0" shrinkToFit="0" vertical="bottom" wrapText="1"/>
    </xf>
    <xf borderId="13" fillId="2" fontId="4" numFmtId="2" xfId="0" applyAlignment="1" applyBorder="1" applyFill="1" applyFont="1" applyNumberFormat="1">
      <alignment horizontal="center" shrinkToFit="0" wrapText="1"/>
    </xf>
    <xf borderId="16" fillId="3" fontId="4" numFmtId="0" xfId="0" applyAlignment="1" applyBorder="1" applyFill="1" applyFont="1">
      <alignment horizontal="center"/>
    </xf>
    <xf borderId="13" fillId="3" fontId="4" numFmtId="2" xfId="0" applyAlignment="1" applyBorder="1" applyFill="1" applyFont="1" applyNumberFormat="1">
      <alignment horizontal="center" shrinkToFit="0" wrapText="1"/>
    </xf>
    <xf borderId="13" fillId="0" fontId="3" numFmtId="2" xfId="0" applyAlignment="1" applyBorder="1" applyFont="1" applyNumberFormat="1">
      <alignment horizontal="center" readingOrder="0" shrinkToFit="0" wrapText="1"/>
    </xf>
    <xf borderId="11" fillId="4" fontId="4" numFmtId="0" xfId="0" applyAlignment="1" applyBorder="1" applyFill="1" applyFont="1">
      <alignment readingOrder="0" shrinkToFit="0" vertical="top" wrapText="1"/>
    </xf>
    <xf borderId="8" fillId="0" fontId="1" numFmtId="0" xfId="0" applyAlignment="1" applyBorder="1" applyFont="1">
      <alignment horizontal="center" readingOrder="0" vertical="bottom"/>
    </xf>
    <xf borderId="12" fillId="0" fontId="3" numFmtId="0" xfId="0" applyAlignment="1" applyBorder="1" applyFont="1">
      <alignment horizontal="center" shrinkToFit="0" vertical="bottom" wrapText="1"/>
    </xf>
    <xf borderId="17" fillId="0" fontId="4" numFmtId="0" xfId="0" applyAlignment="1" applyBorder="1" applyFont="1">
      <alignment horizontal="center" shrinkToFit="0" vertical="bottom" wrapText="1"/>
    </xf>
    <xf borderId="17" fillId="0" fontId="4" numFmtId="0" xfId="0" applyAlignment="1" applyBorder="1" applyFont="1">
      <alignment horizontal="center" shrinkToFit="0" vertical="bottom" wrapText="1"/>
    </xf>
    <xf borderId="29" fillId="0" fontId="2" numFmtId="0" xfId="0" applyBorder="1" applyFont="1"/>
    <xf borderId="18" fillId="2" fontId="4" numFmtId="0" xfId="0" applyAlignment="1" applyBorder="1" applyFill="1" applyFont="1">
      <alignment shrinkToFit="0" vertical="bottom" wrapText="1"/>
    </xf>
    <xf borderId="16" fillId="2" fontId="4" numFmtId="0" xfId="0" applyAlignment="1" applyBorder="1" applyFill="1" applyFont="1">
      <alignment horizontal="center" shrinkToFit="0" vertical="bottom" wrapText="1"/>
    </xf>
    <xf borderId="13" fillId="2" fontId="4" numFmtId="2" xfId="0" applyAlignment="1" applyBorder="1" applyFill="1" applyFont="1" applyNumberFormat="1">
      <alignment horizontal="center" shrinkToFit="0" vertical="bottom" wrapText="1"/>
    </xf>
    <xf borderId="16" fillId="0" fontId="4" numFmtId="0" xfId="0" applyAlignment="1" applyBorder="1" applyFont="1">
      <alignment horizontal="center" shrinkToFit="0" vertical="bottom" wrapText="1"/>
    </xf>
    <xf borderId="18" fillId="2" fontId="4" numFmtId="0" xfId="0" applyAlignment="1" applyBorder="1" applyFill="1" applyFont="1">
      <alignment shrinkToFit="0" vertical="bottom" wrapText="1"/>
    </xf>
    <xf borderId="18" fillId="3" fontId="4" numFmtId="0" xfId="0" applyAlignment="1" applyBorder="1" applyFill="1" applyFont="1">
      <alignment vertical="bottom"/>
    </xf>
    <xf borderId="16" fillId="3" fontId="4" numFmtId="0" xfId="0" applyAlignment="1" applyBorder="1" applyFill="1" applyFont="1">
      <alignment horizontal="center" vertical="bottom"/>
    </xf>
    <xf borderId="13" fillId="3" fontId="4" numFmtId="2" xfId="0" applyAlignment="1" applyBorder="1" applyFill="1" applyFont="1" applyNumberFormat="1">
      <alignment horizontal="center" shrinkToFit="0" vertical="bottom" wrapText="1"/>
    </xf>
    <xf borderId="13" fillId="0" fontId="3" numFmtId="2" xfId="0" applyAlignment="1" applyBorder="1" applyFont="1" applyNumberFormat="1">
      <alignment horizontal="center" readingOrder="0" shrinkToFit="0" vertical="bottom" wrapText="1"/>
    </xf>
    <xf borderId="5" fillId="0" fontId="4" numFmtId="0" xfId="0" applyAlignment="1" applyBorder="1" applyFont="1">
      <alignment vertical="bottom"/>
    </xf>
    <xf borderId="29" fillId="0" fontId="4" numFmtId="0" xfId="0" applyAlignment="1" applyBorder="1" applyFont="1">
      <alignment vertical="bottom"/>
    </xf>
    <xf borderId="13" fillId="2" fontId="4" numFmtId="0" xfId="0" applyAlignment="1" applyBorder="1" applyFill="1" applyFont="1">
      <alignment readingOrder="0" shrinkToFit="0" vertical="top" wrapText="1"/>
    </xf>
    <xf borderId="11" fillId="4" fontId="4" numFmtId="0" xfId="0" applyAlignment="1" applyBorder="1" applyFill="1" applyFont="1">
      <alignment vertical="bottom"/>
    </xf>
    <xf borderId="16" fillId="0" fontId="4" numFmtId="0" xfId="0" applyAlignment="1" applyBorder="1" applyFont="1">
      <alignment horizontal="right" shrinkToFit="0" vertical="bottom" wrapText="1"/>
    </xf>
    <xf borderId="5" fillId="0" fontId="4" numFmtId="0" xfId="0" applyAlignment="1" applyBorder="1" applyFont="1">
      <alignment vertical="top"/>
    </xf>
    <xf borderId="18" fillId="0" fontId="4" numFmtId="0" xfId="0" applyAlignment="1" applyBorder="1" applyFont="1">
      <alignment shrinkToFit="0" vertical="bottom" wrapText="1"/>
    </xf>
    <xf borderId="17" fillId="0" fontId="4" numFmtId="0" xfId="0" applyAlignment="1" applyBorder="1" applyFont="1">
      <alignment horizontal="center" readingOrder="0" shrinkToFit="0" wrapText="1"/>
    </xf>
    <xf borderId="18" fillId="0" fontId="4" numFmtId="0" xfId="0" applyAlignment="1" applyBorder="1" applyFont="1">
      <alignment readingOrder="0" vertical="bottom"/>
    </xf>
    <xf borderId="18" fillId="0" fontId="4" numFmtId="0" xfId="0" applyAlignment="1" applyBorder="1" applyFont="1">
      <alignment vertical="bottom"/>
    </xf>
    <xf borderId="16" fillId="0" fontId="4" numFmtId="0" xfId="0" applyAlignment="1" applyBorder="1" applyFont="1">
      <alignment vertical="bottom"/>
    </xf>
    <xf borderId="31" fillId="0" fontId="1" numFmtId="0" xfId="0" applyAlignment="1" applyBorder="1" applyFont="1">
      <alignment horizontal="center" readingOrder="0"/>
    </xf>
    <xf borderId="31" fillId="0" fontId="2" numFmtId="0" xfId="0" applyBorder="1" applyFont="1"/>
    <xf borderId="30" fillId="0" fontId="2" numFmtId="0" xfId="0" applyBorder="1" applyFont="1"/>
    <xf borderId="11" fillId="0" fontId="4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16" fillId="0" fontId="4" numFmtId="0" xfId="0" applyAlignment="1" applyBorder="1" applyFont="1">
      <alignment horizontal="center" vertical="bottom"/>
    </xf>
    <xf borderId="16" fillId="0" fontId="4" numFmtId="0" xfId="0" applyAlignment="1" applyBorder="1" applyFont="1">
      <alignment horizontal="right" readingOrder="0" vertical="bottom"/>
    </xf>
    <xf borderId="16" fillId="0" fontId="4" numFmtId="0" xfId="0" applyAlignment="1" applyBorder="1" applyFont="1">
      <alignment horizontal="right" vertical="bottom"/>
    </xf>
    <xf borderId="11" fillId="0" fontId="4" numFmtId="0" xfId="0" applyAlignment="1" applyBorder="1" applyFont="1">
      <alignment shrinkToFit="0" vertical="top" wrapText="1"/>
    </xf>
    <xf borderId="7" fillId="0" fontId="1" numFmtId="0" xfId="0" applyAlignment="1" applyBorder="1" applyFont="1">
      <alignment horizontal="center" readingOrder="0" vertical="bottom"/>
    </xf>
    <xf borderId="11" fillId="0" fontId="6" numFmtId="0" xfId="0" applyAlignment="1" applyBorder="1" applyFont="1">
      <alignment shrinkToFit="0" vertical="top" wrapText="1"/>
    </xf>
    <xf borderId="11" fillId="0" fontId="4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nebiocalculator.neb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nanoporetech.com/document/rapid-sequencing-dna-v14-pcr-barcoding-sqk-rpb114-24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75"/>
  </cols>
  <sheetData>
    <row r="1">
      <c r="A1" s="2" t="s">
        <v>2</v>
      </c>
      <c r="B1" s="3"/>
      <c r="C1" s="3"/>
      <c r="D1" s="3"/>
      <c r="E1" s="4"/>
    </row>
    <row r="2">
      <c r="A2" s="6" t="s">
        <v>4</v>
      </c>
      <c r="B2" s="7"/>
      <c r="C2" s="7"/>
      <c r="D2" s="7"/>
      <c r="E2" s="7"/>
    </row>
    <row r="3">
      <c r="A3" s="15" t="s">
        <v>8</v>
      </c>
      <c r="B3" s="10"/>
      <c r="C3" s="10"/>
      <c r="D3" s="10"/>
      <c r="E3" s="11"/>
    </row>
    <row r="4">
      <c r="A4" s="20" t="s">
        <v>11</v>
      </c>
      <c r="B4" s="18"/>
      <c r="C4" s="18"/>
      <c r="D4" s="18"/>
      <c r="E4" s="19"/>
    </row>
    <row r="5">
      <c r="A5" s="24" t="s">
        <v>10</v>
      </c>
      <c r="B5" s="28" t="s">
        <v>12</v>
      </c>
      <c r="C5" s="28" t="s">
        <v>16</v>
      </c>
      <c r="D5" s="34" t="s">
        <v>14</v>
      </c>
      <c r="E5" s="25"/>
    </row>
    <row r="6">
      <c r="A6" s="27"/>
      <c r="B6" s="25"/>
      <c r="C6" s="25"/>
      <c r="D6" s="31" t="s">
        <v>18</v>
      </c>
      <c r="E6" s="39">
        <v>16.0</v>
      </c>
    </row>
    <row r="7">
      <c r="A7" s="29"/>
      <c r="B7" s="43" t="s">
        <v>20</v>
      </c>
      <c r="C7" s="43" t="s">
        <v>20</v>
      </c>
      <c r="D7" s="45" t="s">
        <v>20</v>
      </c>
      <c r="E7" s="25"/>
    </row>
    <row r="8">
      <c r="A8" s="47" t="s">
        <v>26</v>
      </c>
      <c r="B8" s="49">
        <v>10.0</v>
      </c>
      <c r="C8" s="49">
        <v>4.5</v>
      </c>
      <c r="D8" s="50" t="s">
        <v>27</v>
      </c>
      <c r="E8" s="25"/>
    </row>
    <row r="9">
      <c r="A9" s="51" t="s">
        <v>28</v>
      </c>
      <c r="B9" s="52">
        <v>1.0</v>
      </c>
      <c r="C9" s="52">
        <v>0.5</v>
      </c>
      <c r="D9" s="55">
        <f t="shared" ref="D9:D10" si="1">$E$6*B9*1.1</f>
        <v>17.6</v>
      </c>
      <c r="E9" s="25"/>
    </row>
    <row r="10">
      <c r="A10" s="51" t="s">
        <v>34</v>
      </c>
      <c r="B10" s="52">
        <v>1.0</v>
      </c>
      <c r="C10" s="52">
        <v>0.5</v>
      </c>
      <c r="D10" s="55">
        <f t="shared" si="1"/>
        <v>17.6</v>
      </c>
      <c r="E10" s="25"/>
    </row>
    <row r="11">
      <c r="A11" s="57" t="s">
        <v>39</v>
      </c>
      <c r="B11" s="59">
        <f t="shared" ref="B11:C11" si="2">sum(B9:B10)</f>
        <v>2</v>
      </c>
      <c r="C11" s="59">
        <f t="shared" si="2"/>
        <v>1</v>
      </c>
      <c r="D11" s="62">
        <f>sum(D9:E10)</f>
        <v>35.2</v>
      </c>
      <c r="E11" s="25"/>
    </row>
    <row r="12">
      <c r="A12" s="63" t="s">
        <v>40</v>
      </c>
      <c r="B12" s="67">
        <f t="shared" ref="B12:C12" si="3">sum(B8:B10)</f>
        <v>12</v>
      </c>
      <c r="C12" s="67">
        <f t="shared" si="3"/>
        <v>5.5</v>
      </c>
      <c r="D12" s="70" t="s">
        <v>44</v>
      </c>
      <c r="E12" s="25"/>
    </row>
    <row r="13">
      <c r="A13" s="72" t="s">
        <v>42</v>
      </c>
      <c r="B13" s="74"/>
      <c r="C13" s="76"/>
      <c r="D13" s="78" t="s">
        <v>47</v>
      </c>
      <c r="E13" s="25"/>
    </row>
    <row r="14">
      <c r="A14" s="15" t="s">
        <v>49</v>
      </c>
      <c r="B14" s="10"/>
      <c r="C14" s="10"/>
      <c r="D14" s="10"/>
      <c r="E14" s="11"/>
    </row>
    <row r="15">
      <c r="A15" s="20" t="s">
        <v>50</v>
      </c>
      <c r="B15" s="18"/>
      <c r="C15" s="18"/>
      <c r="D15" s="18"/>
      <c r="E15" s="19"/>
    </row>
    <row r="16">
      <c r="A16" s="24" t="s">
        <v>10</v>
      </c>
      <c r="B16" s="28" t="s">
        <v>12</v>
      </c>
      <c r="C16" s="28" t="s">
        <v>16</v>
      </c>
      <c r="D16" s="34" t="s">
        <v>14</v>
      </c>
      <c r="E16" s="25"/>
    </row>
    <row r="17">
      <c r="A17" s="27"/>
      <c r="B17" s="25"/>
      <c r="C17" s="25"/>
      <c r="D17" s="31" t="s">
        <v>18</v>
      </c>
      <c r="E17" s="39">
        <v>16.0</v>
      </c>
    </row>
    <row r="18">
      <c r="A18" s="29"/>
      <c r="B18" s="43" t="s">
        <v>20</v>
      </c>
      <c r="C18" s="43" t="s">
        <v>20</v>
      </c>
      <c r="D18" s="45" t="s">
        <v>20</v>
      </c>
      <c r="E18" s="25"/>
    </row>
    <row r="19">
      <c r="A19" s="87" t="s">
        <v>57</v>
      </c>
      <c r="B19" s="88">
        <v>12.0</v>
      </c>
      <c r="C19" s="88">
        <v>6.0</v>
      </c>
      <c r="D19" s="89" t="s">
        <v>44</v>
      </c>
      <c r="E19" s="25"/>
    </row>
    <row r="20">
      <c r="A20" s="90" t="s">
        <v>58</v>
      </c>
      <c r="B20" s="91">
        <v>4.0</v>
      </c>
      <c r="C20" s="91">
        <f t="shared" ref="C20:C21" si="4">B20/2</f>
        <v>2</v>
      </c>
      <c r="D20" s="92">
        <f t="shared" ref="D20:D23" si="5">$E$17*B20*1.1</f>
        <v>70.4</v>
      </c>
      <c r="E20" s="25"/>
    </row>
    <row r="21">
      <c r="A21" s="90" t="s">
        <v>59</v>
      </c>
      <c r="B21" s="91">
        <v>1.0</v>
      </c>
      <c r="C21" s="91">
        <f t="shared" si="4"/>
        <v>0.5</v>
      </c>
      <c r="D21" s="92">
        <f t="shared" si="5"/>
        <v>17.6</v>
      </c>
      <c r="E21" s="25"/>
    </row>
    <row r="22">
      <c r="A22" s="90" t="s">
        <v>60</v>
      </c>
      <c r="B22" s="91">
        <v>1.0</v>
      </c>
      <c r="C22" s="91">
        <v>0.5</v>
      </c>
      <c r="D22" s="92">
        <f t="shared" si="5"/>
        <v>17.6</v>
      </c>
      <c r="E22" s="25"/>
    </row>
    <row r="23">
      <c r="A23" s="90" t="s">
        <v>61</v>
      </c>
      <c r="B23" s="91">
        <v>2.0</v>
      </c>
      <c r="C23" s="91">
        <f>B23/2</f>
        <v>1</v>
      </c>
      <c r="D23" s="92">
        <f t="shared" si="5"/>
        <v>35.2</v>
      </c>
      <c r="E23" s="25"/>
    </row>
    <row r="24">
      <c r="A24" s="57" t="s">
        <v>39</v>
      </c>
      <c r="B24" s="93">
        <f t="shared" ref="B24:C24" si="6">sum(B20:B23)</f>
        <v>8</v>
      </c>
      <c r="C24" s="93">
        <f t="shared" si="6"/>
        <v>4</v>
      </c>
      <c r="D24" s="94">
        <f>sum(D20:E23)</f>
        <v>140.8</v>
      </c>
      <c r="E24" s="25"/>
    </row>
    <row r="25">
      <c r="A25" s="61" t="s">
        <v>40</v>
      </c>
      <c r="B25" s="36">
        <f t="shared" ref="B25:C25" si="7">sum(B19:B23)</f>
        <v>20</v>
      </c>
      <c r="C25" s="36">
        <f t="shared" si="7"/>
        <v>10</v>
      </c>
      <c r="D25" s="95" t="s">
        <v>62</v>
      </c>
      <c r="E25" s="25"/>
    </row>
    <row r="26">
      <c r="A26" s="72" t="s">
        <v>42</v>
      </c>
      <c r="B26" s="74"/>
      <c r="C26" s="76"/>
      <c r="D26" s="78" t="s">
        <v>63</v>
      </c>
      <c r="E26" s="25"/>
    </row>
    <row r="27" ht="111.75" customHeight="1">
      <c r="A27" s="96" t="s">
        <v>64</v>
      </c>
      <c r="B27" s="18"/>
      <c r="C27" s="18"/>
      <c r="D27" s="18"/>
      <c r="E27" s="19"/>
    </row>
    <row r="28">
      <c r="A28" s="97" t="s">
        <v>65</v>
      </c>
      <c r="B28" s="13"/>
      <c r="C28" s="13"/>
      <c r="D28" s="13"/>
      <c r="E28" s="14"/>
    </row>
    <row r="29">
      <c r="A29" s="98" t="s">
        <v>10</v>
      </c>
      <c r="B29" s="99" t="s">
        <v>12</v>
      </c>
      <c r="C29" s="100" t="s">
        <v>16</v>
      </c>
      <c r="D29" s="23" t="s">
        <v>14</v>
      </c>
      <c r="E29" s="25"/>
    </row>
    <row r="30">
      <c r="A30" s="27"/>
      <c r="B30" s="25"/>
      <c r="C30" s="101"/>
      <c r="D30" s="31" t="s">
        <v>18</v>
      </c>
      <c r="E30" s="39">
        <v>16.0</v>
      </c>
    </row>
    <row r="31">
      <c r="A31" s="29"/>
      <c r="B31" s="36" t="s">
        <v>20</v>
      </c>
      <c r="C31" s="36" t="s">
        <v>20</v>
      </c>
      <c r="D31" s="38" t="s">
        <v>20</v>
      </c>
      <c r="E31" s="25"/>
    </row>
    <row r="32">
      <c r="A32" s="87" t="s">
        <v>66</v>
      </c>
      <c r="B32" s="88">
        <v>5.0</v>
      </c>
      <c r="C32" s="42">
        <f t="shared" ref="C32:C35" si="8">B32/2</f>
        <v>2.5</v>
      </c>
      <c r="D32" s="89" t="s">
        <v>67</v>
      </c>
      <c r="E32" s="25"/>
    </row>
    <row r="33" ht="18.0" customHeight="1">
      <c r="A33" s="102" t="s">
        <v>25</v>
      </c>
      <c r="B33" s="91">
        <v>20.0</v>
      </c>
      <c r="C33" s="103">
        <f t="shared" si="8"/>
        <v>10</v>
      </c>
      <c r="D33" s="104">
        <f>$E$30*B33*1.1</f>
        <v>352</v>
      </c>
      <c r="E33" s="25"/>
    </row>
    <row r="34">
      <c r="A34" s="87" t="s">
        <v>37</v>
      </c>
      <c r="B34" s="105">
        <v>1.0</v>
      </c>
      <c r="C34" s="105">
        <f t="shared" si="8"/>
        <v>0.5</v>
      </c>
      <c r="D34" s="89" t="s">
        <v>68</v>
      </c>
      <c r="E34" s="25"/>
    </row>
    <row r="35">
      <c r="A35" s="106" t="s">
        <v>31</v>
      </c>
      <c r="B35" s="103">
        <v>25.0</v>
      </c>
      <c r="C35" s="103">
        <f t="shared" si="8"/>
        <v>12.5</v>
      </c>
      <c r="D35" s="104">
        <f>$E$30*B35*1.1</f>
        <v>440</v>
      </c>
      <c r="E35" s="25"/>
    </row>
    <row r="36">
      <c r="A36" s="107" t="s">
        <v>39</v>
      </c>
      <c r="B36" s="108">
        <f t="shared" ref="B36:C36" si="9">sum(B33,B35)</f>
        <v>45</v>
      </c>
      <c r="C36" s="108">
        <f t="shared" si="9"/>
        <v>22.5</v>
      </c>
      <c r="D36" s="109">
        <f>SUM(D33,D35)</f>
        <v>792</v>
      </c>
      <c r="E36" s="25"/>
    </row>
    <row r="37">
      <c r="A37" s="61" t="s">
        <v>40</v>
      </c>
      <c r="B37" s="36">
        <f t="shared" ref="B37:C37" si="10">sum(B32:B35)</f>
        <v>51</v>
      </c>
      <c r="C37" s="36">
        <f t="shared" si="10"/>
        <v>25.5</v>
      </c>
      <c r="D37" s="110" t="s">
        <v>69</v>
      </c>
      <c r="E37" s="25"/>
    </row>
    <row r="38">
      <c r="A38" s="102" t="s">
        <v>42</v>
      </c>
      <c r="B38" s="111"/>
      <c r="C38" s="112"/>
      <c r="D38" s="113" t="s">
        <v>70</v>
      </c>
      <c r="E38" s="25"/>
    </row>
    <row r="39">
      <c r="A39" s="114" t="s">
        <v>71</v>
      </c>
      <c r="B39" s="18"/>
      <c r="C39" s="18"/>
      <c r="D39" s="18"/>
      <c r="E39" s="19"/>
    </row>
    <row r="40">
      <c r="A40" s="77" t="s">
        <v>46</v>
      </c>
      <c r="B40" s="79" t="s">
        <v>48</v>
      </c>
      <c r="C40" s="80"/>
      <c r="D40" s="80"/>
      <c r="E40" s="80"/>
    </row>
    <row r="41">
      <c r="A41" s="87" t="s">
        <v>51</v>
      </c>
      <c r="B41" s="115">
        <v>1.0</v>
      </c>
      <c r="C41" s="116"/>
      <c r="D41" s="116"/>
      <c r="E41" s="116"/>
    </row>
    <row r="42">
      <c r="A42" s="117" t="s">
        <v>52</v>
      </c>
      <c r="B42" s="118">
        <v>30.0</v>
      </c>
      <c r="C42" s="116"/>
      <c r="D42" s="116"/>
      <c r="E42" s="116"/>
    </row>
    <row r="43">
      <c r="A43" s="117" t="s">
        <v>72</v>
      </c>
      <c r="B43" s="84"/>
      <c r="C43" s="116"/>
      <c r="D43" s="116"/>
      <c r="E43" s="116"/>
    </row>
    <row r="44">
      <c r="A44" s="87" t="s">
        <v>73</v>
      </c>
      <c r="B44" s="25"/>
      <c r="C44" s="116"/>
      <c r="D44" s="116"/>
      <c r="E44" s="116"/>
    </row>
    <row r="45">
      <c r="A45" s="119" t="s">
        <v>74</v>
      </c>
      <c r="B45" s="115">
        <v>1.0</v>
      </c>
      <c r="C45" s="116"/>
      <c r="D45" s="116"/>
      <c r="E45" s="116"/>
    </row>
    <row r="46">
      <c r="A46" s="120" t="s">
        <v>75</v>
      </c>
      <c r="B46" s="121"/>
      <c r="C46" s="116"/>
      <c r="D46" s="116"/>
      <c r="E46" s="116"/>
    </row>
    <row r="47">
      <c r="A47" s="15" t="s">
        <v>76</v>
      </c>
      <c r="B47" s="10"/>
      <c r="C47" s="10"/>
      <c r="D47" s="10"/>
      <c r="E47" s="11"/>
    </row>
    <row r="48">
      <c r="A48" s="122" t="s">
        <v>77</v>
      </c>
      <c r="B48" s="123"/>
      <c r="C48" s="123"/>
      <c r="D48" s="123"/>
      <c r="E48" s="124"/>
    </row>
    <row r="49" ht="73.5" customHeight="1">
      <c r="A49" s="125" t="s">
        <v>78</v>
      </c>
      <c r="B49" s="18"/>
      <c r="C49" s="18"/>
      <c r="D49" s="18"/>
      <c r="E49" s="19"/>
    </row>
    <row r="50" ht="24.0" customHeight="1">
      <c r="A50" s="97" t="s">
        <v>79</v>
      </c>
      <c r="B50" s="13"/>
      <c r="C50" s="13"/>
      <c r="D50" s="13"/>
      <c r="E50" s="126"/>
    </row>
    <row r="51" ht="15.0" customHeight="1">
      <c r="A51" s="120" t="s">
        <v>80</v>
      </c>
      <c r="B51" s="127">
        <v>0.6</v>
      </c>
      <c r="C51" s="121"/>
      <c r="D51" s="121"/>
      <c r="E51" s="126"/>
    </row>
    <row r="52" ht="15.0" customHeight="1">
      <c r="A52" s="120" t="s">
        <v>81</v>
      </c>
      <c r="B52" s="128">
        <v>50.0</v>
      </c>
      <c r="C52" s="121"/>
      <c r="D52" s="121"/>
      <c r="E52" s="126"/>
    </row>
    <row r="53" ht="15.0" customHeight="1">
      <c r="A53" s="120" t="s">
        <v>82</v>
      </c>
      <c r="B53" s="129">
        <f>B51*B52</f>
        <v>30</v>
      </c>
      <c r="C53" s="121" t="s">
        <v>83</v>
      </c>
      <c r="D53" s="121"/>
      <c r="E53" s="126"/>
    </row>
    <row r="54" ht="15.0" customHeight="1">
      <c r="A54" s="120" t="s">
        <v>84</v>
      </c>
      <c r="B54" s="129">
        <v>17.0</v>
      </c>
      <c r="C54" s="121" t="s">
        <v>83</v>
      </c>
      <c r="D54" s="121"/>
      <c r="E54" s="126"/>
    </row>
    <row r="55" ht="15.0" customHeight="1">
      <c r="A55" s="120" t="s">
        <v>85</v>
      </c>
      <c r="B55" s="129">
        <v>15.0</v>
      </c>
      <c r="C55" s="121" t="s">
        <v>83</v>
      </c>
      <c r="D55" s="121"/>
      <c r="E55" s="126"/>
    </row>
    <row r="56" ht="319.5" customHeight="1">
      <c r="A56" s="130" t="s">
        <v>86</v>
      </c>
      <c r="B56" s="18"/>
      <c r="C56" s="18"/>
      <c r="D56" s="18"/>
      <c r="E56" s="126"/>
    </row>
    <row r="57" ht="18.75" customHeight="1">
      <c r="A57" s="131" t="s">
        <v>87</v>
      </c>
      <c r="B57" s="10"/>
      <c r="C57" s="10"/>
      <c r="D57" s="10"/>
      <c r="E57" s="126"/>
    </row>
    <row r="58" ht="133.5" customHeight="1">
      <c r="A58" s="130" t="s">
        <v>88</v>
      </c>
      <c r="B58" s="18"/>
      <c r="C58" s="18"/>
      <c r="D58" s="18"/>
      <c r="E58" s="126"/>
    </row>
    <row r="59" ht="20.25" customHeight="1">
      <c r="A59" s="131" t="s">
        <v>89</v>
      </c>
      <c r="B59" s="10"/>
      <c r="C59" s="10"/>
      <c r="D59" s="10"/>
      <c r="E59" s="126"/>
    </row>
    <row r="60" ht="98.25" customHeight="1">
      <c r="A60" s="132" t="s">
        <v>90</v>
      </c>
      <c r="B60" s="18"/>
      <c r="C60" s="18"/>
      <c r="D60" s="18"/>
      <c r="E60" s="126"/>
    </row>
    <row r="61" ht="22.5" customHeight="1">
      <c r="A61" s="131" t="s">
        <v>91</v>
      </c>
      <c r="B61" s="10"/>
      <c r="C61" s="10"/>
      <c r="D61" s="10"/>
      <c r="E61" s="126"/>
    </row>
    <row r="62" ht="17.25" customHeight="1">
      <c r="A62" s="133" t="s">
        <v>92</v>
      </c>
      <c r="B62" s="18"/>
      <c r="C62" s="18"/>
      <c r="D62" s="18"/>
      <c r="E62" s="126"/>
    </row>
    <row r="63" ht="15.0" customHeight="1">
      <c r="A63" s="126"/>
      <c r="B63" s="126"/>
      <c r="C63" s="126"/>
      <c r="D63" s="126"/>
      <c r="E63" s="126"/>
    </row>
    <row r="64" ht="15.0" customHeight="1">
      <c r="A64" s="126"/>
      <c r="B64" s="126"/>
      <c r="C64" s="126"/>
      <c r="D64" s="126"/>
      <c r="E64" s="126"/>
    </row>
    <row r="65" ht="15.0" customHeight="1">
      <c r="A65" s="126"/>
      <c r="B65" s="126"/>
      <c r="C65" s="126"/>
      <c r="D65" s="126"/>
      <c r="E65" s="126"/>
    </row>
    <row r="66" ht="15.0" customHeight="1">
      <c r="A66" s="126"/>
      <c r="B66" s="126"/>
      <c r="C66" s="126"/>
      <c r="D66" s="126"/>
      <c r="E66" s="126"/>
    </row>
    <row r="67" ht="15.0" customHeight="1">
      <c r="A67" s="126"/>
      <c r="B67" s="126"/>
      <c r="C67" s="126"/>
      <c r="D67" s="126"/>
      <c r="E67" s="126"/>
    </row>
    <row r="68" ht="15.0" customHeight="1">
      <c r="A68" s="126"/>
      <c r="B68" s="126"/>
      <c r="C68" s="126"/>
      <c r="D68" s="126"/>
      <c r="E68" s="126"/>
    </row>
    <row r="69" ht="15.0" customHeight="1">
      <c r="A69" s="126"/>
      <c r="B69" s="126"/>
      <c r="C69" s="126"/>
      <c r="D69" s="126"/>
      <c r="E69" s="126"/>
    </row>
  </sheetData>
  <mergeCells count="56">
    <mergeCell ref="A1:E1"/>
    <mergeCell ref="A3:E3"/>
    <mergeCell ref="A4:E4"/>
    <mergeCell ref="A5:A7"/>
    <mergeCell ref="B5:B6"/>
    <mergeCell ref="C5:C6"/>
    <mergeCell ref="D5:E5"/>
    <mergeCell ref="D7:E7"/>
    <mergeCell ref="D8:E8"/>
    <mergeCell ref="D9:E9"/>
    <mergeCell ref="D10:E10"/>
    <mergeCell ref="D11:E11"/>
    <mergeCell ref="D12:E12"/>
    <mergeCell ref="D13:E13"/>
    <mergeCell ref="A14:E14"/>
    <mergeCell ref="A15:E15"/>
    <mergeCell ref="A16:A18"/>
    <mergeCell ref="B16:B17"/>
    <mergeCell ref="C16:C17"/>
    <mergeCell ref="D16:E16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A27:E27"/>
    <mergeCell ref="A28:E28"/>
    <mergeCell ref="A29:A31"/>
    <mergeCell ref="B29:B30"/>
    <mergeCell ref="C29:C30"/>
    <mergeCell ref="D29:E29"/>
    <mergeCell ref="D31:E31"/>
    <mergeCell ref="D32:E32"/>
    <mergeCell ref="D33:E33"/>
    <mergeCell ref="D34:E34"/>
    <mergeCell ref="D35:E35"/>
    <mergeCell ref="D36:E36"/>
    <mergeCell ref="D37:E37"/>
    <mergeCell ref="A56:D56"/>
    <mergeCell ref="A57:D57"/>
    <mergeCell ref="A58:D58"/>
    <mergeCell ref="A59:D59"/>
    <mergeCell ref="A60:D60"/>
    <mergeCell ref="A61:D61"/>
    <mergeCell ref="A62:D62"/>
    <mergeCell ref="D38:E38"/>
    <mergeCell ref="A39:E39"/>
    <mergeCell ref="B42:B44"/>
    <mergeCell ref="A47:E47"/>
    <mergeCell ref="A48:E48"/>
    <mergeCell ref="A49:E49"/>
    <mergeCell ref="A50:D50"/>
  </mergeCells>
  <hyperlinks>
    <hyperlink r:id="rId1" location="!/dsdnaamt." ref="A60"/>
  </hyperlinks>
  <printOptions gridLines="1" horizontalCentered="1"/>
  <pageMargins bottom="0.75" footer="0.0" header="0.0" left="0.7" right="0.7" top="0.75"/>
  <pageSetup fitToHeight="0" cellComments="atEnd" orientation="portrait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</cols>
  <sheetData>
    <row r="1">
      <c r="A1" s="1" t="s">
        <v>0</v>
      </c>
      <c r="B1" s="3"/>
      <c r="C1" s="3"/>
      <c r="D1" s="3"/>
      <c r="E1" s="4"/>
    </row>
    <row r="2">
      <c r="A2" s="5" t="s">
        <v>3</v>
      </c>
      <c r="B2" s="7"/>
      <c r="C2" s="7"/>
      <c r="D2" s="7"/>
      <c r="E2" s="8"/>
    </row>
    <row r="3">
      <c r="A3" s="6" t="s">
        <v>5</v>
      </c>
      <c r="B3" s="7"/>
      <c r="C3" s="7"/>
      <c r="D3" s="7"/>
      <c r="E3" s="8"/>
    </row>
    <row r="4">
      <c r="A4" s="16" t="s">
        <v>9</v>
      </c>
      <c r="B4" s="18"/>
      <c r="C4" s="18"/>
      <c r="D4" s="18"/>
      <c r="E4" s="19"/>
    </row>
    <row r="5">
      <c r="A5" s="22" t="s">
        <v>13</v>
      </c>
      <c r="B5" s="10"/>
      <c r="C5" s="10"/>
      <c r="D5" s="10"/>
      <c r="E5" s="11"/>
    </row>
    <row r="6">
      <c r="A6" s="26" t="s">
        <v>15</v>
      </c>
      <c r="B6" s="18"/>
      <c r="C6" s="18"/>
      <c r="D6" s="18"/>
      <c r="E6" s="19"/>
    </row>
    <row r="7">
      <c r="A7" s="30" t="s">
        <v>17</v>
      </c>
      <c r="E7" s="32"/>
    </row>
    <row r="8">
      <c r="A8" s="35" t="s">
        <v>19</v>
      </c>
      <c r="B8" s="37">
        <v>3.5</v>
      </c>
      <c r="C8" s="7"/>
      <c r="D8" s="7"/>
      <c r="E8" s="7"/>
    </row>
    <row r="9">
      <c r="A9" s="35" t="s">
        <v>21</v>
      </c>
      <c r="B9" s="37">
        <v>1.5</v>
      </c>
      <c r="C9" s="7"/>
      <c r="D9" s="7"/>
      <c r="E9" s="7"/>
    </row>
    <row r="10">
      <c r="A10" s="41" t="s">
        <v>23</v>
      </c>
      <c r="B10" s="53">
        <f>SUM(B7:B9)</f>
        <v>5</v>
      </c>
      <c r="C10" s="7"/>
      <c r="D10" s="7"/>
      <c r="E10" s="7"/>
    </row>
    <row r="11">
      <c r="A11" s="30" t="s">
        <v>29</v>
      </c>
      <c r="E11" s="32"/>
    </row>
    <row r="12">
      <c r="A12" s="35" t="s">
        <v>30</v>
      </c>
      <c r="B12" s="37">
        <v>11.0</v>
      </c>
      <c r="C12" s="7"/>
      <c r="D12" s="7"/>
      <c r="E12" s="7"/>
    </row>
    <row r="13">
      <c r="A13" s="35" t="s">
        <v>32</v>
      </c>
      <c r="B13" s="37">
        <v>1.0</v>
      </c>
      <c r="C13" s="7"/>
      <c r="D13" s="7"/>
      <c r="E13" s="7"/>
    </row>
    <row r="14">
      <c r="A14" s="26" t="s">
        <v>33</v>
      </c>
      <c r="B14" s="18"/>
      <c r="C14" s="18"/>
      <c r="D14" s="18"/>
      <c r="E14" s="19"/>
    </row>
    <row r="15">
      <c r="A15" s="22" t="s">
        <v>35</v>
      </c>
      <c r="B15" s="10"/>
      <c r="C15" s="10"/>
      <c r="D15" s="10"/>
      <c r="E15" s="11"/>
    </row>
    <row r="16">
      <c r="A16" s="65" t="s">
        <v>36</v>
      </c>
      <c r="B16" s="18"/>
      <c r="C16" s="18"/>
      <c r="D16" s="18"/>
      <c r="E16" s="19"/>
    </row>
  </sheetData>
  <mergeCells count="9">
    <mergeCell ref="A15:E15"/>
    <mergeCell ref="A16:E16"/>
    <mergeCell ref="A1:E1"/>
    <mergeCell ref="A4:E4"/>
    <mergeCell ref="A5:E5"/>
    <mergeCell ref="A6:E6"/>
    <mergeCell ref="A7:E7"/>
    <mergeCell ref="A11:E11"/>
    <mergeCell ref="A14:E14"/>
  </mergeCells>
  <hyperlinks>
    <hyperlink r:id="rId1" location="priming-and-loading-the-spoton-flow-cell" ref="A16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4" max="4" width="20.0"/>
  </cols>
  <sheetData>
    <row r="1">
      <c r="A1" s="1" t="s">
        <v>1</v>
      </c>
      <c r="B1" s="3"/>
      <c r="C1" s="3"/>
      <c r="D1" s="3"/>
    </row>
    <row r="2">
      <c r="A2" s="5" t="s">
        <v>3</v>
      </c>
      <c r="B2" s="7"/>
      <c r="C2" s="7"/>
      <c r="D2" s="7"/>
    </row>
    <row r="3">
      <c r="A3" s="6" t="s">
        <v>5</v>
      </c>
      <c r="B3" s="7"/>
      <c r="C3" s="7"/>
      <c r="D3" s="7"/>
    </row>
    <row r="4">
      <c r="A4" s="9" t="s">
        <v>6</v>
      </c>
      <c r="B4" s="10"/>
      <c r="C4" s="10"/>
      <c r="D4" s="11"/>
    </row>
    <row r="5">
      <c r="A5" s="12" t="s">
        <v>7</v>
      </c>
      <c r="B5" s="13"/>
      <c r="C5" s="13"/>
      <c r="D5" s="14"/>
    </row>
    <row r="6">
      <c r="A6" s="17" t="s">
        <v>10</v>
      </c>
      <c r="B6" s="21" t="s">
        <v>12</v>
      </c>
      <c r="C6" s="23" t="s">
        <v>14</v>
      </c>
      <c r="D6" s="25"/>
    </row>
    <row r="7">
      <c r="A7" s="27"/>
      <c r="B7" s="29"/>
      <c r="C7" s="31" t="s">
        <v>18</v>
      </c>
      <c r="D7" s="33">
        <v>7.0</v>
      </c>
    </row>
    <row r="8">
      <c r="A8" s="29"/>
      <c r="B8" s="36" t="s">
        <v>20</v>
      </c>
      <c r="C8" s="38" t="s">
        <v>20</v>
      </c>
      <c r="D8" s="25"/>
    </row>
    <row r="9">
      <c r="A9" s="40" t="s">
        <v>22</v>
      </c>
      <c r="B9" s="42">
        <v>9.0</v>
      </c>
      <c r="C9" s="44" t="s">
        <v>24</v>
      </c>
      <c r="D9" s="25"/>
    </row>
    <row r="10">
      <c r="A10" s="46" t="s">
        <v>25</v>
      </c>
      <c r="B10" s="48">
        <v>15.5</v>
      </c>
      <c r="C10" s="54">
        <f>D7*B10</f>
        <v>108.5</v>
      </c>
      <c r="D10" s="25"/>
    </row>
    <row r="11">
      <c r="A11" s="46" t="s">
        <v>31</v>
      </c>
      <c r="B11" s="48">
        <v>25.0</v>
      </c>
      <c r="C11" s="54">
        <f>D7*B11</f>
        <v>175</v>
      </c>
      <c r="D11" s="25"/>
    </row>
    <row r="12">
      <c r="A12" s="40" t="s">
        <v>37</v>
      </c>
      <c r="B12" s="42">
        <v>0.5</v>
      </c>
      <c r="C12" s="44" t="s">
        <v>38</v>
      </c>
      <c r="D12" s="25"/>
    </row>
    <row r="13">
      <c r="A13" s="56" t="s">
        <v>39</v>
      </c>
      <c r="B13" s="58">
        <f t="shared" ref="B13:C13" si="1">SUM(B10,B11)</f>
        <v>40.5</v>
      </c>
      <c r="C13" s="60">
        <f t="shared" si="1"/>
        <v>283.5</v>
      </c>
      <c r="D13" s="25"/>
    </row>
    <row r="14">
      <c r="A14" s="61" t="s">
        <v>40</v>
      </c>
      <c r="B14" s="36">
        <f>SUM(B9:B12)</f>
        <v>50</v>
      </c>
      <c r="C14" s="64" t="s">
        <v>41</v>
      </c>
      <c r="D14" s="25"/>
    </row>
    <row r="15">
      <c r="A15" s="46" t="s">
        <v>42</v>
      </c>
      <c r="B15" s="66"/>
      <c r="C15" s="68" t="s">
        <v>43</v>
      </c>
      <c r="D15" s="69"/>
    </row>
    <row r="16">
      <c r="A16" s="71" t="s">
        <v>45</v>
      </c>
      <c r="B16" s="73"/>
      <c r="C16" s="73"/>
      <c r="D16" s="75"/>
    </row>
    <row r="17">
      <c r="A17" s="77" t="s">
        <v>46</v>
      </c>
      <c r="B17" s="79" t="s">
        <v>48</v>
      </c>
      <c r="C17" s="80"/>
      <c r="D17" s="80"/>
    </row>
    <row r="18">
      <c r="A18" s="40" t="s">
        <v>51</v>
      </c>
      <c r="B18" s="81">
        <v>1.0</v>
      </c>
      <c r="C18" s="82"/>
      <c r="D18" s="82"/>
    </row>
    <row r="19">
      <c r="A19" s="40" t="s">
        <v>52</v>
      </c>
      <c r="B19" s="83">
        <v>45422.0</v>
      </c>
      <c r="C19" s="82"/>
      <c r="D19" s="82"/>
    </row>
    <row r="20">
      <c r="A20" s="40" t="s">
        <v>53</v>
      </c>
      <c r="B20" s="84"/>
      <c r="C20" s="82"/>
      <c r="D20" s="82"/>
    </row>
    <row r="21">
      <c r="A21" s="40" t="s">
        <v>54</v>
      </c>
      <c r="B21" s="25"/>
      <c r="C21" s="82"/>
      <c r="D21" s="82"/>
    </row>
    <row r="22">
      <c r="A22" s="85" t="s">
        <v>55</v>
      </c>
      <c r="B22" s="81">
        <v>1.0</v>
      </c>
      <c r="C22" s="82"/>
      <c r="D22" s="82"/>
    </row>
    <row r="23">
      <c r="A23" s="85" t="s">
        <v>56</v>
      </c>
      <c r="B23" s="86"/>
      <c r="C23" s="82"/>
      <c r="D23" s="82"/>
    </row>
  </sheetData>
  <mergeCells count="16">
    <mergeCell ref="A1:D1"/>
    <mergeCell ref="A4:D4"/>
    <mergeCell ref="A5:D5"/>
    <mergeCell ref="A6:A8"/>
    <mergeCell ref="B6:B7"/>
    <mergeCell ref="C6:D6"/>
    <mergeCell ref="C8:D8"/>
    <mergeCell ref="C15:D15"/>
    <mergeCell ref="B19:B21"/>
    <mergeCell ref="C9:D9"/>
    <mergeCell ref="C10:D10"/>
    <mergeCell ref="C11:D11"/>
    <mergeCell ref="C12:D12"/>
    <mergeCell ref="C13:D13"/>
    <mergeCell ref="C14:D14"/>
    <mergeCell ref="A16:D16"/>
  </mergeCells>
  <drawing r:id="rId1"/>
</worksheet>
</file>